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codeName="ThisWorkbook"/>
  <mc:AlternateContent xmlns:mc="http://schemas.openxmlformats.org/markup-compatibility/2006">
    <mc:Choice Requires="x15">
      <x15ac:absPath xmlns:x15ac="http://schemas.microsoft.com/office/spreadsheetml/2010/11/ac" url="/Users/susong/Documents/work/汇报与培训等/2026必赢之战AI赋能/方案调研/"/>
    </mc:Choice>
  </mc:AlternateContent>
  <xr:revisionPtr revIDLastSave="0" documentId="13_ncr:1_{96BECBDA-9DFE-9949-A42B-00D17586CCEE}" xr6:coauthVersionLast="47" xr6:coauthVersionMax="47" xr10:uidLastSave="{00000000-0000-0000-0000-000000000000}"/>
  <bookViews>
    <workbookView xWindow="-38400" yWindow="-380" windowWidth="38400" windowHeight="21000" activeTab="1" xr2:uid="{00000000-000D-0000-FFFF-FFFF00000000}"/>
  </bookViews>
  <sheets>
    <sheet name="sheet1" sheetId="1" r:id="rId1"/>
    <sheet name="Sheet5" sheetId="5" r:id="rId2"/>
    <sheet name="Sheet2" sheetId="2" r:id="rId3"/>
    <sheet name="Sheet3" sheetId="3" r:id="rId4"/>
  </sheets>
  <definedNames>
    <definedName name="_xlnm._FilterDatabase" localSheetId="0" hidden="1">sheet1!$A$1:$O$455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91" i="1" l="1"/>
  <c r="L5" i="1"/>
  <c r="L454" i="1"/>
  <c r="L450" i="1"/>
  <c r="L445" i="1"/>
  <c r="L438" i="1"/>
  <c r="L437" i="1"/>
  <c r="L434" i="1"/>
  <c r="L431" i="1"/>
  <c r="L429" i="1"/>
  <c r="L425" i="1"/>
  <c r="L411" i="1"/>
  <c r="L408" i="1"/>
  <c r="L407" i="1"/>
  <c r="L405" i="1"/>
  <c r="L400" i="1"/>
  <c r="L398" i="1"/>
  <c r="L393" i="1"/>
  <c r="L391" i="1"/>
  <c r="L384" i="1"/>
  <c r="L380" i="1"/>
  <c r="L377" i="1"/>
  <c r="L374" i="1"/>
  <c r="L371" i="1"/>
  <c r="L370" i="1"/>
  <c r="L367" i="1"/>
  <c r="L366" i="1"/>
  <c r="L361" i="1"/>
  <c r="L360" i="1"/>
  <c r="L359" i="1"/>
  <c r="L354" i="1"/>
  <c r="L350" i="1"/>
  <c r="L348" i="1"/>
  <c r="L342" i="1"/>
  <c r="L340" i="1"/>
  <c r="L338" i="1"/>
  <c r="L329" i="1"/>
  <c r="L328" i="1"/>
  <c r="L325" i="1"/>
  <c r="L323" i="1"/>
  <c r="L316" i="1"/>
  <c r="L304" i="1"/>
  <c r="L295" i="1"/>
  <c r="L293" i="1"/>
  <c r="L284" i="1"/>
  <c r="L278" i="1"/>
  <c r="L271" i="1"/>
  <c r="L270" i="1"/>
  <c r="L264" i="1"/>
  <c r="L262" i="1"/>
  <c r="L261" i="1"/>
  <c r="L260" i="1"/>
  <c r="L259" i="1"/>
  <c r="L254" i="1"/>
  <c r="L249" i="1"/>
  <c r="L244" i="1"/>
  <c r="L229" i="1"/>
  <c r="L225" i="1"/>
  <c r="L223" i="1"/>
  <c r="L218" i="1"/>
  <c r="L214" i="1"/>
  <c r="L211" i="1"/>
  <c r="L209" i="1"/>
  <c r="L205" i="1"/>
  <c r="L201" i="1"/>
  <c r="L186" i="1"/>
  <c r="L181" i="1"/>
  <c r="L175" i="1"/>
  <c r="L174" i="1"/>
  <c r="L168" i="1"/>
  <c r="L162" i="1"/>
  <c r="L144" i="1"/>
  <c r="L143" i="1"/>
  <c r="L142" i="1"/>
  <c r="L141" i="1"/>
  <c r="L139" i="1"/>
  <c r="L129" i="1"/>
  <c r="L128" i="1"/>
  <c r="L127" i="1"/>
  <c r="L122" i="1"/>
  <c r="L120" i="1"/>
  <c r="L119" i="1"/>
  <c r="L116" i="1"/>
  <c r="L103" i="1"/>
  <c r="L90" i="1"/>
  <c r="L78" i="1"/>
  <c r="L76" i="1"/>
  <c r="L72" i="1"/>
  <c r="L67" i="1"/>
  <c r="L65" i="1"/>
  <c r="L61" i="1"/>
  <c r="L60" i="1"/>
  <c r="L57" i="1"/>
  <c r="L53" i="1"/>
  <c r="L41" i="1"/>
  <c r="L19" i="1"/>
  <c r="L16" i="1"/>
</calcChain>
</file>

<file path=xl/sharedStrings.xml><?xml version="1.0" encoding="utf-8"?>
<sst xmlns="http://schemas.openxmlformats.org/spreadsheetml/2006/main" count="6897" uniqueCount="1866">
  <si>
    <t>基地</t>
  </si>
  <si>
    <t>SN</t>
  </si>
  <si>
    <t>机型名</t>
  </si>
  <si>
    <t>套餐名</t>
  </si>
  <si>
    <t>订单号</t>
  </si>
  <si>
    <t>报错时间</t>
  </si>
  <si>
    <t>当前工站</t>
  </si>
  <si>
    <t>日志内容</t>
  </si>
  <si>
    <t>是否录入维修</t>
  </si>
  <si>
    <t>不良维度3</t>
  </si>
  <si>
    <t>分类</t>
  </si>
  <si>
    <t>备注</t>
  </si>
  <si>
    <t>处理人</t>
  </si>
  <si>
    <t>9000</t>
  </si>
  <si>
    <t>6102265104304987</t>
  </si>
  <si>
    <t>G230-DM-2</t>
  </si>
  <si>
    <t>B8621-IBDD2O</t>
  </si>
  <si>
    <t>30228728</t>
  </si>
  <si>
    <t>2026-05-10 11:58:21</t>
  </si>
  <si>
    <t>老化测试</t>
  </si>
  <si>
    <t>[字节]Changsha reboot 测试</t>
  </si>
  <si>
    <t>Program KILLED BY TIMEOUT Killed by timeout max second 3600</t>
  </si>
  <si>
    <t>6102265104304951</t>
  </si>
  <si>
    <t>30228526</t>
  </si>
  <si>
    <t>2026-05-10 13:00:25</t>
  </si>
  <si>
    <t>[字节]Changsha BIOS BMC恢复默认设置</t>
  </si>
  <si>
    <t>Program KILLED BY TIMEOUT Killed by timeout max second 600</t>
  </si>
  <si>
    <t>6102228404313006</t>
  </si>
  <si>
    <t>G220B-2G1BxxM-T</t>
  </si>
  <si>
    <t>SH10T1-3E42GA-S</t>
  </si>
  <si>
    <t>30228126</t>
  </si>
  <si>
    <t>2026-05-10 16:45:50</t>
  </si>
  <si>
    <t>初检前测</t>
  </si>
  <si>
    <t>[客户定制][字节]黑白名单检查_前测</t>
  </si>
  <si>
    <t>7  05102026  080229  Power Supply B0PSU2Supply  Power Supply AC lost  Deasserted    8  05102026  080229  Power Supply B0PSU2Supply  AC outofrange but present  Deasserted    9  05102026  080232  Power Supply B0PSU0Supply  Power Supply AC lost  Deasserted    a  05102026  080232  Power Supply B0PSU0Supply  AC outofrange but present  Deasserted    3  05102026  080116  Power Supply B0PSU0Supply  Power Supply AC lost  Asserted    5  05102026  080116  Power Supply B0PSU2Supply  Power Supply AC lost  As</t>
  </si>
  <si>
    <t>6102228404310028</t>
  </si>
  <si>
    <t>30228124</t>
  </si>
  <si>
    <t>2026-05-09 07:13:18</t>
  </si>
  <si>
    <t>import 01000 15b3197b  LinkCap 320GTs x16  LinkSta 320GTs x16 import 02000 15b3197b  LinkCap 320GTs x16  LinkSta 320GTs x16 import 02030 15b3197b  LinkCap 320GTs x16  LinkSta 320GTs x16 import 03000 15b3a2dc  LinkCap 320GTs x16  LinkSta 320GTs x16 import 03001 15b3a2dc  LinkCap 320GTs x16  LinkSta 320GTs x16 import 04000 15b3197b  LinkCap 320GTs x16  LinkSta 320GTs x16 import 05000 15b3197b  LinkCap 320GTs x2  LinkSta 80GTs x2</t>
  </si>
  <si>
    <t>是</t>
  </si>
  <si>
    <t>停用字节_黑白名单检查_前测_PCIE链路报错</t>
  </si>
  <si>
    <t>疑似接触不良问题</t>
  </si>
  <si>
    <t>6102117004309929</t>
  </si>
  <si>
    <t>G220-BM</t>
  </si>
  <si>
    <t>S80D1-I9ED2M</t>
  </si>
  <si>
    <t>30228519</t>
  </si>
  <si>
    <t>2026-05-09 10:39:05</t>
  </si>
  <si>
    <t>[客户定制][字节] EGS REBOOT测试 2LOOP</t>
  </si>
  <si>
    <t>Sat May  9 103751 2026  smpapictimerinterrupt0x680x120 Sat May  9 103751 2026  apictimerinterrupt0xf0x20 Sat May  9 103751 2026 r8152 2210 eth2 Tx timeout May  9 103751 bytedancehostv13 kernel    56368874    C9  smpapictimerinterrupt0x680x120 May  9 103751 bytedancehostv13 kernel    56368875    C9  apictimerinterrupt0xf0x20 May  9 103751 bytedancehostv13 kernel    56385022    C9 r8152 2210 eth2 Tx timeout check black list fail LAST LOOP Check fail</t>
  </si>
  <si>
    <t>6102117004309930</t>
  </si>
  <si>
    <t>2026-05-09 10:42:15</t>
  </si>
  <si>
    <t>[客户定制][字节] EGS AC测试 10LOOP</t>
  </si>
  <si>
    <t>Sat May  9 104138 2026 xhcihcd 000000140 WARN Set TR Deq Ptr cmd failed due to incorrect slot or ep state May  9 104139 bytedancehostv13 kernel   107264522   C39 xhcihcd 000000140 WARN Set TR Deq Ptr cmd failed due to incorrect slot or ep state check black list first fail custom toutiao task fail</t>
  </si>
  <si>
    <t>6102117004312875</t>
  </si>
  <si>
    <t>30228520</t>
  </si>
  <si>
    <t>2026-05-10 07:24:15</t>
  </si>
  <si>
    <t>Sun May 10 072239 2026 r8152 2210 eth2 Get ether addr fail Sun May 10 072239 2026  smpapictimerinterrupt0x680x120 Sun May 10 072239 2026  apictimerinterrupt0xf0x20 Sun May 10 072239 2026 r8152 2210 eth2 Tx timeout May 10 072239 bytedancehostv13 kernel    43532717   C11  smpapictimerinterrupt0x680x120 May 10 072239 bytedancehostv13 kernel    43542131   C11  apictimerinterrupt0xf0x20 May 10 072239 bytedancehostv13 kernel    43548249   C11 r8152 2210 eth2 Tx timeout</t>
  </si>
  <si>
    <t>6102265104304955</t>
  </si>
  <si>
    <t>2026-05-10 13:00:49</t>
  </si>
  <si>
    <t>6102228404304258</t>
  </si>
  <si>
    <t>30228122</t>
  </si>
  <si>
    <t>2026-05-10 22:54:53</t>
  </si>
  <si>
    <t>老化初检</t>
  </si>
  <si>
    <t>[客户定制][字节]MEMTESTER与FIO测试</t>
  </si>
  <si>
    <t>9  05102026  040649  Processor CPU1Status  Correctable machine check error  Asserted    9  05102026  040649  Processor CPU1Status  Correctable machine check error  Asserted   45  05102026  143849  Power Supply RedundantPSU  Redundancy Lost  Deasserted   41  05102026  143815  Power Supply RedundantPSU  Redundancy Lost  Asserted   45  05102026  143849  Power Supply RedundantPSU  Redundancy Lost  Deasserted   46  05102026  143849  Power Supply RedundantPSU  Redundancy Lost  Deasserted</t>
  </si>
  <si>
    <t>6102117004312852</t>
  </si>
  <si>
    <t>2026-05-09 20:05:34</t>
  </si>
  <si>
    <t>硬件信息检查</t>
  </si>
  <si>
    <t>PCI1 Input SN  24003530 device  0x10210x15B30x00210x15B3 Class  NA Count  1  PCI   Local addr  000017000 LnkCap  32GTsx16 LnkSta  32GTsx8 CPU LnkCap  32GTsx16 not equal  PCI   Local addr  000017001 LnkCap  32GTsx16 LnkSta  32GTsx8 CPU LnkCap  32GTsx16 not equal  PCI1 Local Count  1  PCI1 check result fail PCI check result fail</t>
  </si>
  <si>
    <t>6102228404322547</t>
  </si>
  <si>
    <t>30227559</t>
  </si>
  <si>
    <t>2026-05-14 14:36:09</t>
  </si>
  <si>
    <t>17  05142026  061902  Critical Interrupt PCIEStatus  Bus Correctable error BDF 000000  Deasserted   16  05142026  061125  Critical Interrupt PCIEStatus  Bus Correctable error BDF 4a0100  Asserted   17  05142026  061902  Critical Interrupt PCIEStatus  Bus Correctable error BDF 000000  Deasserted   16  05142026  061125  Critical Interrupt PCIEStatus  Bus Correctable error BDF 4a0100  Asserted   17  05142026  061902  Critical Interrupt PCIEStatus  Bus Correctable error BDF 000000  Deasserted</t>
  </si>
  <si>
    <t>6102228404322539</t>
  </si>
  <si>
    <t>2026-05-14 15:10:06</t>
  </si>
  <si>
    <t>6  05142026  000851  OEM record cd  00b3dd  bacc02030000 Current PCIe devices do not match PCIe topology    e  05142026  003833  OEM record cd  00b3dd  bacc02030000 Current PCIe devices do not match PCIe topology   3a  05142026  012554  OEM record cd  00b3dd  bacc02030000 Current PCIe devices do not match PCIe topology   4d  05142026  015153  OEM record cd  00b3dd  bacc02030000 Current PCIe devices do not match PCIe topology   63  05142026  023741  OEM record cd  00b3dd  bacc02030000 Current PCI</t>
  </si>
  <si>
    <t>6102228404315789</t>
  </si>
  <si>
    <t>30228128</t>
  </si>
  <si>
    <t>2026-05-10 11:56:36</t>
  </si>
  <si>
    <t>Sun May 10 114412 2026 r8152 2210 Direct firmware load for rtlnicrtl8153a3fw failed with error 2 Sun May 10 114412 2026 r8152 2210 Direct firmware load for rtlnicrtl8153a3fw failed with error 2 Sun May 10 114412 2026 r8152 2210 Direct firmware load for rtlnicrtl8153a3fw failed with error 2</t>
  </si>
  <si>
    <t>2026-05-10 18:01:55</t>
  </si>
  <si>
    <t>[字节][QTBQC]HOST关机</t>
  </si>
  <si>
    <t>6102228404301155</t>
  </si>
  <si>
    <t>30228120</t>
  </si>
  <si>
    <t>2026-05-10 22:10:28</t>
  </si>
  <si>
    <t>[客户定制][字节][TMS/JHS]压力测试</t>
  </si>
  <si>
    <t>230  Bus Correctable error 20260510 200818  mainBlackListTest  INFO  line616  cmd lsblk ndp  awk nvmediskprint 1 20260510 200818  mainBlackListTest  INFO  line48  Run Cmd lsblk ndp  awk nvmediskprint 1 20260510 200818  mainBlackListTest  INFO  line54  Return 0 20260510 200818  mainBlackListTest  INFO  line59  output devnvme1n1  Health test FAIL ERROR Health check fail RESULT        FAIL     End at 20260510 200842  20260510 200907info  PCIE  20260510 200907info PACKAGE SH10T13E42GAS     FAIL</t>
  </si>
  <si>
    <t>字节_[客户定制][字节][TMS/JHS]压力测试_GPU链路报错</t>
  </si>
  <si>
    <t>6102228404315807</t>
  </si>
  <si>
    <t>2026-05-10 23:28:32</t>
  </si>
  <si>
    <t>[客户定制][字节]BF3串口通信检查</t>
  </si>
  <si>
    <t>All serial port test FAIL test result FAIL RESULT        FAIL</t>
  </si>
  <si>
    <t>6102228404315806</t>
  </si>
  <si>
    <t>6102265104305009</t>
  </si>
  <si>
    <t>30228527</t>
  </si>
  <si>
    <t>2026-05-11 00:12:05</t>
  </si>
  <si>
    <t>[客户定制][字节]混合压测1H与REBOOT 4LOOP</t>
  </si>
  <si>
    <t>COMMON BOARD ERROR FUNCTION Black list check fail fail type sel dmessage message</t>
  </si>
  <si>
    <t>字节_[客户定制][字节]混合压测1H与REBOOT 4LOOP_内存Correctable ECC</t>
  </si>
  <si>
    <t>物料问题</t>
  </si>
  <si>
    <t>6102117004312817</t>
  </si>
  <si>
    <t>2026-05-11 00:19:49</t>
  </si>
  <si>
    <t>[客户定制][字节] EGS AC测试 3LOOP</t>
  </si>
  <si>
    <t>AC timeout</t>
  </si>
  <si>
    <t>6102228404315821</t>
  </si>
  <si>
    <t>2026-05-11 03:54:06</t>
  </si>
  <si>
    <t>Failed to boot NETNICP1IPV6    Start PXE over IPv4  Send DHCP DISCOVER Client MAC 6431360F53EA  Recv DHCP OFFER Client MAC 6431360F53EA  Send DHCP REQUEST Client MAC 6431360F53EA   Failed to boot NETNICP0IPV4    Start PXE over IPv4  Send DHCP DISCOVER Client MAC 6431360F53EB  Recv DHCP OFFER Client MAC 6431360F53EBtimeout didnt get login message Alert serial devttyUSB0 not existskip test   All serial port test FAIL test result FAIL RESULT        FAIL</t>
  </si>
  <si>
    <t>6102228404301183</t>
  </si>
  <si>
    <t>2026-05-11 04:44:07</t>
  </si>
  <si>
    <t>[客户定制][字节]EGS混合压测 6H</t>
  </si>
  <si>
    <t>Mon May 11 043044 2026  00 BAD  00 ff ff ff ff ff ff 00 4e ad 23 c1 01 00 00 00 Mon May 11 043044 2026  00 BAD  1f 1f 01 03 0e 34 20 78 ea ee 91 a3 54 4c 99 26 Mon May 11 043044 2026  00 BAD  0f 50 54 ff ff 80 a9 40 81 80 71 86 95 00 b3 00 Mon May 11 043044 2026  00 BAD  d1 c0 81 00 d1 00 64 19 00 40 41 00 26 30 18 88 Mon May 11 043044 2026  00 BAD  36 00 06 44 21 00 00 1a 00 00 00 fd 00 31 56 1d Mon May 11 043044 2026  00 BAD  5e 15 00 0a 20 20 20 20 20 20 00 00 00 fc 00 4b</t>
  </si>
  <si>
    <t>6102265104304943</t>
  </si>
  <si>
    <t>2026-05-11 05:16:03</t>
  </si>
  <si>
    <t>综检后测</t>
  </si>
  <si>
    <t>[字节][擎天]人机交互</t>
  </si>
  <si>
    <t>COMMON BOARD ERROR BMC Get bmc sel info fail</t>
  </si>
  <si>
    <t>6102265104305004</t>
  </si>
  <si>
    <t>30228731</t>
  </si>
  <si>
    <t>2026-05-11 07:39:45</t>
  </si>
  <si>
    <t>[字节][QTBQC]BD 后测</t>
  </si>
  <si>
    <t>Program KILLED BY TIMEOUT Killed by timeout max second 360</t>
  </si>
  <si>
    <t>6102192404317410</t>
  </si>
  <si>
    <t>G220-BM-2</t>
  </si>
  <si>
    <t>M5621-I9DD2O-P</t>
  </si>
  <si>
    <t>30229008</t>
  </si>
  <si>
    <t>2026-05-12 22:32:05</t>
  </si>
  <si>
    <t>PSU0InletTemp   24h  ns   100  No Reading PSU0Temp         26h  ns   100  No Reading PSU0IIn          2Dh  ns   100  No Reading PSU0IOut         2Fh  ns   100  No Reading PSU0PIn          82h  ns   100  No Reading PSU0POut         84h  ns   100  No Reading TotalPower       89h  ns   100  No Reading check black keys fail custom toutiao task fail</t>
  </si>
  <si>
    <t>2026-05-14 15:17:37</t>
  </si>
  <si>
    <t>6102228404323823</t>
  </si>
  <si>
    <t>30227561</t>
  </si>
  <si>
    <t>2026-05-14 20:37:20</t>
  </si>
  <si>
    <t>6102228404316643</t>
  </si>
  <si>
    <t>30228130</t>
  </si>
  <si>
    <t>2026-05-15 02:47:41</t>
  </si>
  <si>
    <t>P7HCUTemp       8Fh  ns    725  No Reading</t>
  </si>
  <si>
    <t>6102228404316644</t>
  </si>
  <si>
    <t>2026-05-15 04:02:37</t>
  </si>
  <si>
    <t>[客户定制][字节]黑白名单检查_压测</t>
  </si>
  <si>
    <t>Fri May 15 035312 2026 ibumad Unknown symbol ibunregisterclient err 22 Fri May 15 035312 2026 ibumad Unknown symbol ibmodifyport err 22 Fri May 15 035312 2026 ibumad Unknown symbol rdmadevaccessnetns err 22 Fri May 15 035312 2026 ibumad Unknown symbol ibinitahattrfromwc err 22 Fri May 15 035312 2026 ibumad Unknown symbol ibregisterclient err 22 Fri May 15 035312 2026 ibumad Unknown symbol ibunregistermadagent err 22 Fri May 15 035312 2026 ibumad Unknown symbol ibpostsendmad err 22</t>
  </si>
  <si>
    <t>6102228404322545</t>
  </si>
  <si>
    <t>2026-05-16 10:04:42</t>
  </si>
  <si>
    <t>[字节][千岛湖] BF3 HOST混合压力测试</t>
  </si>
  <si>
    <t>Sat May 16 081414 2026 1Hardware Error Hardware error from APEI Generic Hardware Error Source 0 Sat May 16 081414 2026 1Hardware Error It has been corrected by hw and requires no further action Sat May 16 081414 2026 1Hardware Error event severity corrected Sat May 16 081414 2026 1Hardware Error  Error 0 type corrected Sat May 16 081414 2026 1Hardware Error   sectiontype PCIe error Sat May 16 081414 2026 1Hardware Error   porttype 0 PCIe end point Sat May 16 081414 2026 1Hardware Error   version</t>
  </si>
  <si>
    <t>6102228404322553</t>
  </si>
  <si>
    <t>2026-05-16 11:17:46</t>
  </si>
  <si>
    <t>[字节][千岛湖]AC测试V2</t>
  </si>
  <si>
    <t>Sat May 16 111141 2026 ibumad Unknown symbol ibunregisterclient err 22 Sat May 16 111141 2026 ibumad Unknown symbol ibmodifyport err 22 Sat May 16 111141 2026 ibumad Unknown symbol rdmadevaccessnetns err 22 Sat May 16 111141 2026 ibumad Unknown symbol ibinitahattrfromwc err 22 Sat May 16 111141 2026 ibumad Unknown symbol ibregisterclient err 22 Sat May 16 111141 2026 ibumad Unknown symbol ibunregistermadagent err 22 Sat May 16 111141 2026 ibumad Unknown symbol ibpostsendmad err 22</t>
  </si>
  <si>
    <t>6102264704305235</t>
  </si>
  <si>
    <t>S520-BM</t>
  </si>
  <si>
    <t>SD8S1-I9DS3B-L</t>
  </si>
  <si>
    <t>30228543</t>
  </si>
  <si>
    <t>2026-05-08 08:41:44</t>
  </si>
  <si>
    <t>[客户定制][字节]黑白名单检查</t>
  </si>
  <si>
    <t>local  6f000 144da80a  LinkCap 160GTs x4  LinkSta 160GTs x4 import 6f000 025e0b60  LinkCap 160GTs x4  LinkSta 160GTs x4 compare local pci devices with import information failed PCIeLnx64 command executed failed</t>
  </si>
  <si>
    <t>6102264704305246</t>
  </si>
  <si>
    <t>2026-05-08 08:41:53</t>
  </si>
  <si>
    <t>6102264704305240</t>
  </si>
  <si>
    <t>2026-05-08 08:41:55</t>
  </si>
  <si>
    <t>6102264704305250</t>
  </si>
  <si>
    <t>2026-05-08 08:42:01</t>
  </si>
  <si>
    <t>6102264704305244</t>
  </si>
  <si>
    <t>2026-05-08 08:42:04</t>
  </si>
  <si>
    <t>6102264704305261</t>
  </si>
  <si>
    <t>2026-05-08 09:03:36</t>
  </si>
  <si>
    <t>6102228404310023</t>
  </si>
  <si>
    <t>2026-05-08 13:51:31</t>
  </si>
  <si>
    <t>6102117004304703</t>
  </si>
  <si>
    <t>30228516</t>
  </si>
  <si>
    <t>2026-05-08 14:10:45</t>
  </si>
  <si>
    <t>[客户定制][字节]混合压测1H与DC测试</t>
  </si>
  <si>
    <t>check black list first fail custom toutiao task fail</t>
  </si>
  <si>
    <t>6102228404304283</t>
  </si>
  <si>
    <t>2026-05-08 15:24:32</t>
  </si>
  <si>
    <t>2026-05-09 00:56:29</t>
  </si>
  <si>
    <t>6102264704305236</t>
  </si>
  <si>
    <t>2026-05-08 08:28:20</t>
  </si>
  <si>
    <t>6102264704305251</t>
  </si>
  <si>
    <t>2026-05-08 08:41:57</t>
  </si>
  <si>
    <t>6102117004304132</t>
  </si>
  <si>
    <t>30228517</t>
  </si>
  <si>
    <t>2026-05-08 08:52:33</t>
  </si>
  <si>
    <t>19  05072026  131455  Drive Slot  Bay NVMEStatus  Drive Fault Drive Slot08  Asserted    5  05072026  122503  OEM record cd  00b3dd  bacd00020000 UCERCATERRMSMI16BCLK Dump succeeded    2  05072026  122425  Processor CPU0Status  Uncorrectable machine check exception  Asserted    3  05072026  122425  Processor CPU0Status  Uncorrectable machine check exception  Asserted    4  05072026  122451  Processor CPU0Status  Uncorrectable machine check exception  Asserted</t>
  </si>
  <si>
    <t>6102117004304851</t>
  </si>
  <si>
    <t>30228518</t>
  </si>
  <si>
    <t>2026-05-08 09:44:25</t>
  </si>
  <si>
    <t>2  05072026  075700  Fan FAN2RSpeed  Lower Critical going low  Deasserted  Reading 864  Threshold 192 RPM    4  05072026  075742  Fan FAN2RSpeed  Lower Critical going low  Deasserted  Reading 3456  Threshold 192 RPM    6  05072026  075814  Fan FAN2RSpeed  Lower Critical going low  Deasserted  Reading 768  Threshold 192 RPM   14  05072026  080107  Fan FAN2RSpeed  Lower Critical going low  Deasserted  Reading 1152  Threshold 192 RPM</t>
  </si>
  <si>
    <t>6102265104304899</t>
  </si>
  <si>
    <t>30228593</t>
  </si>
  <si>
    <t>2026-05-08 12:43:52</t>
  </si>
  <si>
    <t>[字节]Changsha 通过SOCI2C 控制dc</t>
  </si>
  <si>
    <t>6102265104304982</t>
  </si>
  <si>
    <t>2026-05-08 13:39:35</t>
  </si>
  <si>
    <t>[字节][擎天]系统信息初始化</t>
  </si>
  <si>
    <t>SYSTEM COMMON SOFTWARE ERROR upload flash logs failed</t>
  </si>
  <si>
    <t>6102264704305166</t>
  </si>
  <si>
    <t>30228541</t>
  </si>
  <si>
    <t>2026-05-08 17:54:23</t>
  </si>
  <si>
    <t>[客户定制][字节] AC测试 10LOOP</t>
  </si>
  <si>
    <t>common error</t>
  </si>
  <si>
    <t>6102264704305258</t>
  </si>
  <si>
    <t>2026-05-08 18:11:19</t>
  </si>
  <si>
    <t>6102265104304931</t>
  </si>
  <si>
    <t>2026-05-08 20:57:26</t>
  </si>
  <si>
    <t>[字节][擎天]BDAT设置恢复检查</t>
  </si>
  <si>
    <t>6102117004309870</t>
  </si>
  <si>
    <t>2026-05-09 02:01:35</t>
  </si>
  <si>
    <t>Sat May  9 015925 2026  smpapictimerinterrupt0x680x120 Sat May  9 015925 2026  apictimerinterrupt0xf0x20 Sat May  9 015925 2026 r8152 2210 eth1 Tx timeout May  9 015925 bytedancehostv13 kernel   196687685    C8  smpapictimerinterrupt0x680x120 May  9 015925 bytedancehostv13 kernel   196687687    C8  apictimerinterrupt0xf0x20 May  9 015925 bytedancehostv13 kernel   196705659    C8 r8152 2210 eth1 Tx timeout check black list first fail</t>
  </si>
  <si>
    <t>6102264704305209</t>
  </si>
  <si>
    <t>30228377</t>
  </si>
  <si>
    <t>2026-05-09 03:16:16</t>
  </si>
  <si>
    <t>2  05082026  064658  Memory P0C6D0Status  Correctable ECC  Asserted    3  05082026  064701  Memory P0C6D0Status  Correctable ECC  Asserted    4  05082026  064715  Memory P0C6D0Status  Correctable ECC  Asserted    5  05082026  064715  Memory P0C6D0Status  Correctable ECC  Asserted    6  05082026  064717  Memory P0C6D0Status  Correctable ECC  Asserted    7  05082026  064721  Memory P0C6D0Status  Correctable ECC  Asserted    8  05082026  064737  Memory P0C6D0Status  Correctable ECC  Asserted</t>
  </si>
  <si>
    <t>2026-05-10 18:32:31</t>
  </si>
  <si>
    <t>6102228404316665</t>
  </si>
  <si>
    <t>2026-05-15 14:57:14</t>
  </si>
  <si>
    <t>[客户定制][字节][灰度]SHC测试</t>
  </si>
  <si>
    <t>Fri May 15 144242 2026 lscpu43912 segfault at 0 ip 00007f082597c53e sp 00007fff32389488 error 4 in libc228so7f0825846000147000 Fri May 15 144242 2026 lscpu43912 segfault at 0 ip 00007f082597c53e sp 00007fff32389488 error 4 in libc228so7f0825846000147000 Fri May 15 144242 2026 lscpu43912 segfault at 0 ip 00007f082597c53e sp 00007fff32389488 error 4 in libc228so7f0825846000147000</t>
  </si>
  <si>
    <t>6102228404323840</t>
  </si>
  <si>
    <t>2026-05-15 16:52:03</t>
  </si>
  <si>
    <t>6102228404323818</t>
  </si>
  <si>
    <t>2026-05-15 22:41:11</t>
  </si>
  <si>
    <t>2  05152026  142419  Critical Interrupt PCIEStatus  Bus Correctable error BDF 000000  Deasserted    2  05152026  142419  Critical Interrupt PCIEStatus  Bus Correctable error BDF 000000  Deasserted    2  05152026  142419  Critical Interrupt PCIEStatus  Bus Correctable error BDF 000000  Deasserted</t>
  </si>
  <si>
    <t>6102268004328656</t>
  </si>
  <si>
    <t>G220-EM</t>
  </si>
  <si>
    <t>MAGQ1-ICDD2B</t>
  </si>
  <si>
    <t>30229386</t>
  </si>
  <si>
    <t>2026-05-16 06:18:12</t>
  </si>
  <si>
    <t>PCI   Local addr  00003b001 LnkCap  16GTsx8 LnkSta  16GTsx8 equal  PCI   Local addr  0000b8000 LnkCap  16GTsx8 LnkSta  16GTsx1 CPU LnkCap  32GTsx8 not equal  PCI   Local addr  0000b8001 LnkCap  16GTsx8 LnkSta  16GTsx1 CPU LnkCap  32GTsx8 not equal  PCI0 Local Count  2  PCI0 check result fail   PCI   Local addr  00004c000 LnkCap  32GTsx4 LnkSta  32GTsx4 equal  PCI   Local addr  00004d000 LnkCap  32GTsx4 LnkSta  32GTsx4 equal  PCI1 Local Count  2  PCI1 check result success PCI check result fail</t>
  </si>
  <si>
    <t>板卡硬件比对报错_PCIE带宽速率降低</t>
  </si>
  <si>
    <t>6102228404323834</t>
  </si>
  <si>
    <t>2026-05-16 07:00:09</t>
  </si>
  <si>
    <t>6102265104304949</t>
  </si>
  <si>
    <t>2026-05-11 05:47:41</t>
  </si>
  <si>
    <t>[字节][擎天]老化功能测试</t>
  </si>
  <si>
    <t>COMMON BOARD ERROR FUNCTION Black list check fail fail type sel</t>
  </si>
  <si>
    <t>6102117004309890</t>
  </si>
  <si>
    <t>2026-05-11 05:58:35</t>
  </si>
  <si>
    <t>check pcie fail custom toutiao task fail</t>
  </si>
  <si>
    <t>字节_[客户定制][字节]混合压测1H与DC测试_硬盘降速</t>
  </si>
  <si>
    <t>6102265104305000</t>
  </si>
  <si>
    <t>30228525</t>
  </si>
  <si>
    <t>2026-05-11 19:46:59</t>
  </si>
  <si>
    <t>[字节][擎天]混合压测</t>
  </si>
  <si>
    <t>COMMON BOARD ERROR FUNCTION Black list check fail fail type sel sdr dmessage message</t>
  </si>
  <si>
    <t>字节_[字节][擎天]混合压测_CPU CE报错</t>
  </si>
  <si>
    <t>6102228404316653</t>
  </si>
  <si>
    <t>2026-05-11 21:13:58</t>
  </si>
  <si>
    <t>6102228404316662</t>
  </si>
  <si>
    <t>2026-05-11 22:32:33</t>
  </si>
  <si>
    <t>6102265104304953</t>
  </si>
  <si>
    <t>2026-05-12 02:37:15</t>
  </si>
  <si>
    <t>[字节][擎天]SHC Test</t>
  </si>
  <si>
    <t>Program AGENT ERROR Check result QtBatteryFunctionRepeatCheck 3 node2 fail</t>
  </si>
  <si>
    <t>6102228404316673</t>
  </si>
  <si>
    <t>2026-05-12 11:14:12</t>
  </si>
  <si>
    <t>字节_[客户定制][字节]黑白名单检查_前测_PCIE链路报错</t>
  </si>
  <si>
    <t>6102117004309877</t>
  </si>
  <si>
    <t>2026-05-09 08:27:53</t>
  </si>
  <si>
    <t>Sat May  9 082547 2026 ACPI Error Could not enable RealTimeClock event 20190816evxfevnt184 Sat May  9 082547 2026 ACPI Error Could not enable RealTimeClock event 20190816evxfevnt184 Sat May  9 082547 2026 ACPI Warning Could not enable fixed event  RealTimeClock 4 20190816evxface620 May  9 082616 bytedancehostv13 kernel     5376332    T1 ACPI Warning Could not enable fixed event  RealTimeClock 4 20190816evxface620 check black list fail LAST LOOP Check fail</t>
  </si>
  <si>
    <t>2026-05-09 11:06:49</t>
  </si>
  <si>
    <t>[客户定制][字节] EGS DC测试 5LOOP</t>
  </si>
  <si>
    <t>Sat May  9 110443 2026 nvme nvme16 Failed to configure AEN cfg 300 May  9 110512 bytedancehostv13 kernel     6608338   T96 nvme nvme16 Failed to configure AEN cfg 300   15  05092026  025618  Critical Interrupt PCIEStatus  Bus Uncorrectable error BDF 000000  Deasserted   12  05092026  013246  Drive Slot  Bay NVMEStatus  Drive Fault Drive Slot04  Asserted   2a  05092026  030402  Drive Slot  Bay NVMEStatus  Drive Fault Drive Slot16  Asserted</t>
  </si>
  <si>
    <t>6102228404316654</t>
  </si>
  <si>
    <t>2026-05-13 04:10:27</t>
  </si>
  <si>
    <t>2  05122026  195332  Critical Interrupt PCIEStatus  Bus Correctable error BDF 000000  Deasserted    2  05122026  195332  Critical Interrupt PCIEStatus  Bus Correctable error BDF 000000  Deasserted    2  05122026  195332  Critical Interrupt PCIEStatus  Bus Correctable error BDF 000000  Deasserted</t>
  </si>
  <si>
    <t>6102228404317331</t>
  </si>
  <si>
    <t>30228132</t>
  </si>
  <si>
    <t>2026-05-13 07:14:16</t>
  </si>
  <si>
    <t>Failed to boot NETNICP1IPV6    Start PXE over IPv4  Send DHCP DISCOVER Client MAC E46DABF0D500  Recv DHCP OFFER Client MAC E46DABF0D500  Send DHCP REQUEST Client MAC E46DABF0D500   Failed to boot NETNICP0IPV4    Start PXE over IPv4  Send DHCP DISCOVER Client MAC E46DABF0D501  Recv DHCP OFFER Client MAC E46DABF0D501timeout didnt get login message Alert serial devttyUSB0 not existskip test   All serial port test FAIL test result FAIL RESULT        FAIL</t>
  </si>
  <si>
    <t>2026-05-13 08:04:24</t>
  </si>
  <si>
    <t>6102228404315816</t>
  </si>
  <si>
    <t>2026-05-13 08:29:59</t>
  </si>
  <si>
    <t>2  05132026  001250  Critical Interrupt PCIEStatus  Bus Correctable error BDF 000000  Deasserted    2  05132026  001250  Critical Interrupt PCIEStatus  Bus Correctable error BDF 000000  Deasserted    2  05132026  001250  Critical Interrupt PCIEStatus  Bus Correctable error BDF 000000  Deasserted</t>
  </si>
  <si>
    <t>2026-05-08 00:50:59</t>
  </si>
  <si>
    <t>2  05072026  163256  Memory Cpu1MEMG0Hot  Critical Overtemperature  Deasserted    2  05072026  163256  Memory Cpu1MEMG0Hot  Critical Overtemperature  Deasserted    5  05072026  163304  Memory Cpu1MEMG0Hot  Critical Overtemperature  Asserted Cpu1MEMG0Hot    4Ah  ok   321  Critical Overtemperature</t>
  </si>
  <si>
    <t>停用字节_黑白名单检查_前测_内存超温报错</t>
  </si>
  <si>
    <t>2026-05-12 15:14:37</t>
  </si>
  <si>
    <t>6102228404312990</t>
  </si>
  <si>
    <t>2026-05-12 19:10:08</t>
  </si>
  <si>
    <t>Tue May 12 185547 2026 lscpu39830 segfault at 0 ip 00007fd77231d53e sp 00007ffc729a5838 error 4 in libc228so7fd7721e7000147000 Tue May 12 185547 2026 lscpu39830 segfault at 0 ip 00007fd77231d53e sp 00007ffc729a5838 error 4 in libc228so7fd7721e7000147000 Tue May 12 185547 2026 lscpu39830 segfault at 0 ip 00007fd77231d53e sp 00007ffc729a5838 error 4 in libc228so7fd7721e7000147000</t>
  </si>
  <si>
    <t>2026-05-13 09:32:27</t>
  </si>
  <si>
    <t>14  05132026  013014  Power Supply PSU0Supply  Power Supply AC lost  Asserted   16  05132026  013014  Power Supply PSU1Supply  Power Supply AC lost  Asserted   17  05132026  013014  Power Supply RedundantPSU  Redundancy Lost  Asserted PSU0InletTemp   24h  ns   100  No Reading PSU1InletTemp   25h  ns   101  No Reading PSU0Temp         26h  ns   100  No Reading PSU1Temp         27h  ns   101  No Reading PSU0IIn          2Dh  ns   100  No Reading PSU1IIn          2Eh  ns   101  No Reading</t>
  </si>
  <si>
    <t>6102228404317346</t>
  </si>
  <si>
    <t>2026-05-13 09:32:28</t>
  </si>
  <si>
    <t>2026-05-13 09:51:41</t>
  </si>
  <si>
    <t>PSU0InletTemp   24h  ns   100  No Reading PSU1InletTemp   25h  ns   101  No Reading PSU0Temp         26h  ns   100  No Reading PSU1Temp         27h  ns   101  No Reading PSU0IIn          2Dh  ns   100  No Reading PSU1IIn          2Eh  ns   101  No Reading PSU0IOut         2Fh  ns   100  No Reading PSU1IOut         30h  ns   101  No Reading PSU0PIn          82h  ns   100  No Reading PSU1PIn          83h  ns   101  No Reading</t>
  </si>
  <si>
    <t>2026-05-13 10:04:32</t>
  </si>
  <si>
    <t>3  05132026  002717  Power Unit PowerFault  State Asserted ErrorType OTHER  Asserted    5  05132026  002811  Power Unit PowerFault  State Asserted ErrorType OTHER  Asserted    c  05132026  005532  Power Unit PowerFault  State Asserted ErrorType OTHER  Asserted   14  05132026  012428  Power Unit PowerFault  State Asserted ErrorType OTHER  Asserted    3  05132026  002717  Power Unit PowerFault  State Asserted ErrorType OTHER  Asserted    5  05132026  002811  Power Unit PowerFault  State Asserted E</t>
  </si>
  <si>
    <t>2026-05-13 10:09:41</t>
  </si>
  <si>
    <t>6  05132026  020021  Power Supply PSU1Supply  Power Supply AC lost  Deasserted    7  05132026  020023  Power Supply PSU0Supply  Presence detected  Deasserted    8  05132026  020023  Power Supply PSU0Supply  Power Supply AC lost  Deasserted    6  05132026  020021  Power Supply PSU1Supply  Power Supply AC lost  Deasserted    8  05132026  020023  Power Supply PSU0Supply  Power Supply AC lost  Deasserted    f  05132026  020301  Power Supply RedundantPSU  Redundancy Lost  Asserted</t>
  </si>
  <si>
    <t>2026-05-13 10:11:30</t>
  </si>
  <si>
    <t>[客户定制][字节] DC测试 8LOOP</t>
  </si>
  <si>
    <t>PSU2PIn          65h  ok   107  0 Watts PSU2POut         69h  ok   1011  0 Watts PSU2IIn          6Dh  ok   1015  0 Amps PSU2IOut         71h  ok   1019  0 Amps check box black keys fail custom toutiao task fail</t>
  </si>
  <si>
    <t>6102192404317371</t>
  </si>
  <si>
    <t>2026-05-13 17:16:51</t>
  </si>
  <si>
    <t>8  05132026  091434  Temperature InletTemp  Upper Critical going high  Deasserted  Reading 40  Threshold 41 degrees C    a  05132026  091438  Temperature InletTemp  Upper Critical going high  Deasserted  Reading 40  Threshold 41 degrees C    c  05132026  091448  Temperature InletTemp  Upper Critical going high  Deasserted  Reading 40  Threshold 41 degrees C    7  05132026  091422  Temperature InletTemp  Upper Critical going high  Asserted  Reading 41  Threshold 41 degrees C</t>
  </si>
  <si>
    <t>6102228404322552</t>
  </si>
  <si>
    <t>2026-05-14 00:03:15</t>
  </si>
  <si>
    <t>6102228404323825</t>
  </si>
  <si>
    <t>2026-05-14 19:40:37</t>
  </si>
  <si>
    <t>2026-05-13 14:49:33</t>
  </si>
  <si>
    <t>9  05132026  013501  Power Supply RedundantPSU  Fully Redundant  Deasserted    7  05132026  013451  Power Unit PowerFault  State Asserted ErrorType OTHER  Asserted    b  05132026  013547  Power Unit PowerFault  State Asserted ErrorType OTHER  Asserted    7  05132026  013451  Power Unit PowerFault  State Asserted ErrorType OTHER  Asserted    b  05132026  013547  Power Unit PowerFault  State Asserted ErrorType OTHER  Asserted    8  05132026  013457  Power Supply PSU0Supply  Power Supply AC lost  A</t>
  </si>
  <si>
    <t>2026-05-14 21:22:58</t>
  </si>
  <si>
    <t>2026-05-12 16:36:00</t>
  </si>
  <si>
    <t>check failed items 80           000000ff     000003da     00002430     0000ffff     00000000     00000000      80           000000ff     000003da     00002430     0000ffff     00000000     00000000      80           000000ff     000003da     00002430     0000ffff     00000000     00000000      80           000000ff     000003da     00002430     0000ffff     00000000     00000000</t>
  </si>
  <si>
    <t>2026-05-13 02:00:56</t>
  </si>
  <si>
    <t>[字节][QTBQC]HOST开机</t>
  </si>
  <si>
    <t>6102228404315820</t>
  </si>
  <si>
    <t>2026-05-13 03:50:45</t>
  </si>
  <si>
    <t>6102228404312978</t>
  </si>
  <si>
    <t>2026-05-13 04:09:02</t>
  </si>
  <si>
    <t>2  05122026  090759  Memory P1C4D0Status  Correctable ECC  Asserted    3  05122026  090759  Memory P1C4D0Status  Correctable ECC  Asserted    4  05122026  090759  Memory P1C4D0Status  Correctable ECC  Asserted    5  05122026  090759  Memory P1C4D0Status  Correctable ECC  Asserted    6  05122026  090759  Memory P1C4D0Status  Correctable ECC  Asserted    7  05122026  090759  Memory P1C4D0Status  Correctable ECC  Asserted    8  05122026  090759  Memory P1C4D0Status  Correctable ECC  Asserted</t>
  </si>
  <si>
    <t>2026-05-13 10:44:10</t>
  </si>
  <si>
    <t>Wed May 13 103829 2026 brcmpexnt2 ERROR Invalid Ham Device Context HAM Context 0000000000000000 Wed May 13 103829 2026 brcmpexnt2 ERROR Invalid Ham Device Context HAM Context 0000000000000000 Wed May 13 103829 2026 brcmpexnt2 ERROR Invalid Ham Device Context HAM Context 0000000000000000 Wed May 13 103829 2026 brcmpexnt2 ERROR Invalid Ham Device Context HAM Context 0000000000000000 Wed May 13 103829 2026 brcmpexnt2 ERROR Invalid Ham Device Context HAM Context 0000000000000000</t>
  </si>
  <si>
    <t>2026-05-08 08:28:13</t>
  </si>
  <si>
    <t>6102264704305237</t>
  </si>
  <si>
    <t>2026-05-08 08:28:23</t>
  </si>
  <si>
    <t>2026-05-08 08:28:31</t>
  </si>
  <si>
    <t>6102264704305245</t>
  </si>
  <si>
    <t>2026-05-08 08:41:56</t>
  </si>
  <si>
    <t>6102264704305255</t>
  </si>
  <si>
    <t>2026-05-08 09:03:24</t>
  </si>
  <si>
    <t>6102264704305263</t>
  </si>
  <si>
    <t>2026-05-08 09:04:13</t>
  </si>
  <si>
    <t>6102265104304950</t>
  </si>
  <si>
    <t>2026-05-08 11:11:33</t>
  </si>
  <si>
    <t>COMMON BOARD ERROR FUNCTION Black list check fail fail type sdr</t>
  </si>
  <si>
    <t>6102228404316672</t>
  </si>
  <si>
    <t>2026-05-13 08:31:12</t>
  </si>
  <si>
    <t>2  05132026  001346  Critical Interrupt PCIEStatus  Bus Correctable error BDF 000000  Deasserted    2  05132026  001346  Critical Interrupt PCIEStatus  Bus Correctable error BDF 000000  Deasserted    2  05132026  001346  Critical Interrupt PCIEStatus  Bus Correctable error BDF 000000  Deasserted</t>
  </si>
  <si>
    <t>6102228404312986</t>
  </si>
  <si>
    <t>2026-05-13 16:26:23</t>
  </si>
  <si>
    <t>4  05132026  081430  Power Supply B1PSU0Supply  Power Supply AC lost  Deasserted    5  05132026  081430  Power Supply B1PSU0Supply  AC outofrange but present  Deasserted    2  05132026  080751  Power Supply B1PSU0Supply  Power Supply AC lost  Asserted    4  05132026  081430  Power Supply B1PSU0Supply  Power Supply AC lost  Deasserted    3  05132026  080751  Power Supply B1PSU0Supply  AC outofrange but present  Asserted    5  05132026  081430  Power Supply B1PSU0Supply  AC outofrange but present</t>
  </si>
  <si>
    <t>6102228404315811</t>
  </si>
  <si>
    <t>2026-05-13 21:13:15</t>
  </si>
  <si>
    <t>4  05132026  125350  Power Supply B0PSU3Supply  Power Supply AC lost  Deasserted    5  05132026  125350  Power Supply B0PSU3Supply  AC outofrange but present  Deasserted    2  05132026  124745  Power Supply B0PSU3Supply  Power Supply AC lost  Asserted    4  05132026  125350  Power Supply B0PSU3Supply  Power Supply AC lost  Deasserted    3  05132026  124745  Power Supply B0PSU3Supply  AC outofrange but present  Asserted    5  05132026  125350  Power Supply B0PSU3Supply  AC outofrange but present</t>
  </si>
  <si>
    <t>6102228404313003</t>
  </si>
  <si>
    <t>2026-05-14 00:28:19</t>
  </si>
  <si>
    <t>[客户定制][字节][TMS/JHS]部件信息检查</t>
  </si>
  <si>
    <t>Get BMC IP FAIL BOX0 BOX173696d732e6e6574ffff2022ac58af17 Get BMC IP FAIL BOX0 BOX173696d732e6e6574ffff2022ac58af17 Get BMC IP FAIL BOX0 BOX173696d732e6e6574ffff2022ac58af17 Get BMC IP FAIL BOX0 BOX173696d732e6e6574ffff2022ac58af17 RESULT        FAIL</t>
  </si>
  <si>
    <t>2026-05-08 11:35:00</t>
  </si>
  <si>
    <t>2026-05-08 12:04:00</t>
  </si>
  <si>
    <t>停用字节_[擎天]老化功能测试_内存不全</t>
  </si>
  <si>
    <t>6102228404304266</t>
  </si>
  <si>
    <t>2026-05-08 14:22:13</t>
  </si>
  <si>
    <t>230  Bus Correctable error 20260508 122737  mainBlackListTest  INFO  line616  cmd lsblk ndp  awk nvmediskprint 1 20260508 122737  mainBlackListTest  INFO  line48  Run Cmd lsblk ndp  awk nvmediskprint 1 20260508 122737  mainBlackListTest  INFO  line54  Return 0 20260508 122737  mainBlackListTest  INFO  line59  output devnvme1n1  Health test FAIL ERROR Health check fail RESULT        FAIL     End at 20260508 122801  20260508 122825info  PCIE  20260508 122825info PACKAGE SH10T13E42GAS     FAIL</t>
  </si>
  <si>
    <t>6102228404304823</t>
  </si>
  <si>
    <t>30227597</t>
  </si>
  <si>
    <t>2026-05-08 14:49:14</t>
  </si>
  <si>
    <t>Fri May  8 144005 2026 ibumad Unknown symbol ibunregisterclient err 22 Fri May  8 144005 2026 ibumad Unknown symbol ibmodifyport err 22 Fri May  8 144005 2026 ibumad Unknown symbol rdmadevaccessnetns err 22 Fri May  8 144005 2026 ibumad Unknown symbol ibinitahattrfromwc err 22 Fri May  8 144005 2026 ibumad Unknown symbol ibregisterclient err 22 Fri May  8 144005 2026 ibumad Unknown symbol ibunregistermadagent err 22 Fri May  8 144005 2026 ibumad Unknown symbol ibpostsendmad err 22</t>
  </si>
  <si>
    <t>6102264704305203</t>
  </si>
  <si>
    <t>2026-05-08 15:51:36</t>
  </si>
  <si>
    <t>[客户定制][字节]PTU测试</t>
  </si>
  <si>
    <t>3  05082026  060743  Power Supply RedundantPSU  Fully Redundant  Deasserted    2  05082026  060738  Power Supply PSU0Supply  Power Supply AC lost  Asserted    4  05082026  060743  Power Supply RedundantPSU  Redundancy Lost  Asserted PSU0PIn          85h  ok   100  0 Watts PSU0POut         89h  ok   100  0 Watts PSU0IIn          2Eh  ok   100  0 Amps PSU0IOut         32h  ok   100  0 Amps fail health check fatal</t>
  </si>
  <si>
    <t>6102265104304999</t>
  </si>
  <si>
    <t>2026-05-08 19:03:57</t>
  </si>
  <si>
    <t>[字节][QTBQC]系统检查</t>
  </si>
  <si>
    <t>6102265104304938</t>
  </si>
  <si>
    <t>2026-05-08 22:48:41</t>
  </si>
  <si>
    <t>[字节]Changsha DC cycles</t>
  </si>
  <si>
    <t>6102265104305007</t>
  </si>
  <si>
    <t>2026-05-09 00:43:02</t>
  </si>
  <si>
    <t>2026-05-09 00:45:29</t>
  </si>
  <si>
    <t>6102228404312994</t>
  </si>
  <si>
    <t>2026-05-09 14:58:49</t>
  </si>
  <si>
    <t>6102117004316712</t>
  </si>
  <si>
    <t>30228521</t>
  </si>
  <si>
    <t>2026-05-12 03:57:11</t>
  </si>
  <si>
    <t>2026-05-09 15:56:04</t>
  </si>
  <si>
    <t>2026-05-09 16:26:19</t>
  </si>
  <si>
    <t>6102228404304836</t>
  </si>
  <si>
    <t>2026-05-09 18:42:02</t>
  </si>
  <si>
    <t>Sat May  9 182535 2026 ibumad Unknown symbol ibunregisterclient err 22 Sat May  9 182535 2026 ibumad Unknown symbol ibmodifyport err 22 Sat May  9 182535 2026 ibumad Unknown symbol rdmadevaccessnetns err 22 Sat May  9 182535 2026 ibumad Unknown symbol ibinitahattrfromwc err 22 Sat May  9 182535 2026 ibumad Unknown symbol ibregisterclient err 22 Sat May  9 182535 2026 ibumad Unknown symbol ibunregistermadagent err 22 Sat May  9 182535 2026 ibumad Unknown symbol ibpostsendmad err 22</t>
  </si>
  <si>
    <t>2026-05-09 18:46:22</t>
  </si>
  <si>
    <t>Sat May  9 183703 2026 mce Hardware Error Machine check events logged Sat May  9 183703 2026 1Hardware Error Hardware error from APEI Generic Hardware Error Source 0 Sat May  9 183703 2026 1Hardware Error It has been corrected by hw and requires no further action Sat May  9 183703 2026 1Hardware Error event severity corrected Sat May  9 183703 2026 1Hardware Error  Error 0 type corrected Sat May  9 183703 2026 1Hardware Error  frutext Socket0 Sat May  9 183703 2026 1Hardware Error   sectiontype</t>
  </si>
  <si>
    <t>停用字节_[千岛湖] BF3 HOST混合压力测试_CPU报错</t>
  </si>
  <si>
    <t>6102228404304821</t>
  </si>
  <si>
    <t>2026-05-09 19:37:48</t>
  </si>
  <si>
    <t>[客户定制][字节]REBOOT测试 4LOOP</t>
  </si>
  <si>
    <t>30  05092026  112806  Temperature CPU0Temp  Upper Nonrecoverable going high  Deasserted  Reading 91  Threshold 92 degrees C   31  05092026  112806  Temperature CPU0Temp  Upper Critical going high  Deasserted  Reading 91  Threshold 92 degrees C   32  05092026  112810  Temperature CPU0Temp  Upper Noncritical going high  Deasserted  Reading 90  Threshold 91 degrees C   33  05092026  112827  Processor CPU0Status  Throttled  Deasserted   2d  05092026  112756  Temperature CPU0Temp  Upper Noncritical g</t>
  </si>
  <si>
    <t>6102228404315795</t>
  </si>
  <si>
    <t>2026-05-09 19:40:01</t>
  </si>
  <si>
    <t>2026-05-10 15:01:39</t>
  </si>
  <si>
    <t>Sun May 10 144231 2026 mce Hardware Error Machine check events logged Sun May 10 144231 2026 mce Hardware Error Machine check events logged Sun May 10 144231 2026 1Hardware Error Hardware error from APEI Generic Hardware Error Source 0 Sun May 10 144231 2026 1Hardware Error It has been corrected by hw and requires no further action Sun May 10 144231 2026 1Hardware Error event severity corrected Sun May 10 144231 2026 1Hardware Error  Error 0 type corrected Sun May 10 144231 2026 1Hardware Error</t>
  </si>
  <si>
    <t>停用字节_EGS混合压测-6H_CPU报错</t>
  </si>
  <si>
    <t>2026-05-10 16:04:46</t>
  </si>
  <si>
    <t>[字节]Changsha 混合压测</t>
  </si>
  <si>
    <t>6102228404310040</t>
  </si>
  <si>
    <t>2026-05-11 00:44:22</t>
  </si>
  <si>
    <t>17  05102026  142202  Power Supply RedundantPSU  Fully Redundant  Deasserted   1c  05102026  142902  Power Supply RedundantPSU  Redundancy Lost  Deasserted   18  05102026  142202  Power Supply RedundantPSU  Redundancy Lost  Asserted   1c  05102026  142902  Power Supply RedundantPSU  Redundancy Lost  Deasserted</t>
  </si>
  <si>
    <t>2026-05-12 01:26:09</t>
  </si>
  <si>
    <t>字节_[字节][千岛湖]BOX FRU信息检查V3_GPU不识别</t>
  </si>
  <si>
    <t>2026-05-12 06:47:03</t>
  </si>
  <si>
    <t>6102228404315799</t>
  </si>
  <si>
    <t>2026-05-12 08:26:14</t>
  </si>
  <si>
    <t>11  05122026  001001  Power Supply B0PSU3Supply  Power Supply AC lost  Asserted   12  05122026  001001  Power Supply B0PSU3Supply  AC outofrange but present  Asserted check black keys fail    a  05122026  000936  Power Supply RedundantPSU  Fully Redundant  Deasserted    b  05122026  000936  Power Supply RedundantPSU  Redundancy Lost  Asserted PSU3PIn          66h  ok   108  0 Watts PSU3POut         6Ah  ok   1012  0 Watts PSU3IIn          6Eh  ok   1016  0 Amps</t>
  </si>
  <si>
    <t>2026-05-12 09:02:22</t>
  </si>
  <si>
    <t>PSU3PIn          66h  ok   108  0 Watts PSU3POut         6Ah  ok   1012  0 Watts PSU3IIn          6Eh  ok   1016  0 Amps PSU3IOut         72h  ok   1020  0 Amps check box black keys fail custom toutiao task fail</t>
  </si>
  <si>
    <t>6102228404316671</t>
  </si>
  <si>
    <t>2026-05-12 09:50:41</t>
  </si>
  <si>
    <t>Failed to boot NETNICP1IPV6    Start PXE over IPv4  Send DHCP DISCOVER Client MAC F0BC50DDBE34  Recv DHCP OFFER Client MAC F0BC50DDBE34  Send DHCP REQUEST Client MAC F0BC50DDBE34   Failed to boot NETNICP0IPV4    Start PXE over IPv4  Send DHCP DISCOVER Client MAC F0BC50DDBE35  Recv DHCP OFFER Client MAC F0BC50DDBE35timeout didnt get login message Alert serial devttyUSB0 not existskip test   All serial port test FAIL test result FAIL RESULT        FAIL</t>
  </si>
  <si>
    <t>2026-05-12 13:47:32</t>
  </si>
  <si>
    <t>2026-05-12 18:03:42</t>
  </si>
  <si>
    <t>2026-05-12 10:09:58</t>
  </si>
  <si>
    <t>CPU UNKNOW SOFTWARE ERROR Get cpu from uut fail</t>
  </si>
  <si>
    <t>2026-05-12 16:10:55</t>
  </si>
  <si>
    <t>[字节]HDD格式化操作</t>
  </si>
  <si>
    <t>Program AGENT ERROR Check link fail pls check network and agent on this remote server</t>
  </si>
  <si>
    <t>6102228404317349</t>
  </si>
  <si>
    <t>2026-05-12 19:04:05</t>
  </si>
  <si>
    <t>6102228404317326</t>
  </si>
  <si>
    <t>2026-05-13 09:23:04</t>
  </si>
  <si>
    <t>2026-05-13 09:52:16</t>
  </si>
  <si>
    <t>2026-05-13 10:34:32</t>
  </si>
  <si>
    <t>6102228404317324</t>
  </si>
  <si>
    <t>2026-05-13 13:14:37</t>
  </si>
  <si>
    <t>6102192404317370</t>
  </si>
  <si>
    <t>2026-05-13 17:06:39</t>
  </si>
  <si>
    <t>[客户定制][字节]EGS yichun memtester测试3_loops</t>
  </si>
  <si>
    <t>6  05132026  085430  Temperature InletTemp  Upper Critical going high  Deasserted  Reading 40  Threshold 41 degrees C    8  05132026  085531  Temperature InletTemp  Upper Critical going high  Deasserted  Reading 40  Threshold 41 degrees C    5  05132026  085418  Temperature InletTemp  Upper Critical going high  Asserted  Reading 41  Threshold 41 degrees C    6  05132026  085430  Temperature InletTemp  Upper Critical going high  Deasserted  Reading 40  Threshold 41 degrees C</t>
  </si>
  <si>
    <t>6102228404316652</t>
  </si>
  <si>
    <t>2026-05-13 17:33:29</t>
  </si>
  <si>
    <t>Wed May 13 172718 2026 ibumad Unknown symbol ibunregisterclient err 22 Wed May 13 172718 2026 ibumad Unknown symbol ibmodifyport err 22 Wed May 13 172718 2026 ibumad Unknown symbol rdmadevaccessnetns err 22 Wed May 13 172718 2026 ibumad Unknown symbol ibinitahattrfromwc err 22 Wed May 13 172718 2026 ibumad Unknown symbol ibregisterclient err 22 Wed May 13 172718 2026 ibumad Unknown symbol ibunregistermadagent err 22 Wed May 13 172718 2026 ibumad Unknown symbol ibpostsendmad err 22</t>
  </si>
  <si>
    <t>6102208004317366</t>
  </si>
  <si>
    <t>G220-CM</t>
  </si>
  <si>
    <t>B84Q1-IADD2B-WW</t>
  </si>
  <si>
    <t>30229120</t>
  </si>
  <si>
    <t>2026-05-12 20:19:28</t>
  </si>
  <si>
    <t>2c  05122026  114232  Temperature OCPOptTemp  Upper Critical going high  Deasserted  Reading 68  Threshold 69 degrees C   2d  05122026  114310  Temperature OCPOptTemp  Upper Noncritical going high  Deasserted  Reading 67  Threshold 68 degrees C   2a  05122026  113950  Temperature OCPOptTemp  Upper Noncritical going high  Asserted  Reading 68  Threshold 68 degrees C   2b  05122026  114023  Temperature OCPOptTemp  Upper Critical going high  Asserted  Reading 69  Threshold 69 degrees C</t>
  </si>
  <si>
    <t>2026-05-12 17:16:34</t>
  </si>
  <si>
    <t>Tue May 12 170800 2026 mce Hardware Error Machine check events logged Tue May 12 170800 2026 EDAC skx MC6 HANDLING MCE MEMORY ERROR Tue May 12 170800 2026 EDAC MC6 18869 CE memory scrubbing error on CPUSrcID1MC2Chan0DIMM0 channel0 slot0 page0xa073495 offset0xc00 grain32 syndrome0x0   errcode0x00080x00c0 ProcessorSocketId0x1 MemoryControllerId0x2 PhysicalRankId0x0 Row0x38c9 Column0x7f0 Bank0x2 BankGroup0x5 Tue May 12 170800 2026 1Hardware Error Hardware error from APEI Generic Hardware Error Sour</t>
  </si>
  <si>
    <t>字节_[字节][千岛湖]AC测试V2_内存Correctable ECC</t>
  </si>
  <si>
    <t>6102228404322563</t>
  </si>
  <si>
    <t>2026-05-13 23:30:12</t>
  </si>
  <si>
    <t>2026-05-14 08:20:40</t>
  </si>
  <si>
    <t>PCI   Local addr  00009d000 LnkCap  16GTsx4 LnkSta  16GTsx4 equal  PCI   Local addr  00009e000 LnkCap  16GTsx4 LnkSta  16GTsx4 equal  PCI   Local addr  0000a0000 LnkCap  16GTsx4 LnkSta  16GTsx4 equal  PCI1 Local Count  3  PCI1 check result fail PCI check result fail  Disk  Disk0 Input SN  B5400016 Model  SOLIDIGM SSDPF2KX038T1 Count  4 Revision 9CV10511  Disk0 Local Count  3  Disk0 check result fail Disk check result fail</t>
  </si>
  <si>
    <t>硬盘数量比对报错（丢盘）</t>
  </si>
  <si>
    <t>2026-05-14 08:48:44</t>
  </si>
  <si>
    <t>2026-05-14 10:03:53</t>
  </si>
  <si>
    <t>2026-05-15 09:03:08</t>
  </si>
  <si>
    <t>[字节][擎天]BIOS BMC恢复默认设置</t>
  </si>
  <si>
    <t>Program KILLED BY TIMEOUT Killed by timeout max second 1200</t>
  </si>
  <si>
    <t>6102228404323836</t>
  </si>
  <si>
    <t>2026-05-15 12:57:19</t>
  </si>
  <si>
    <t>2026-05-15 13:39:55</t>
  </si>
  <si>
    <t>[客户定制][字节] EGS DC测试 2LOOP</t>
  </si>
  <si>
    <t>1d  05152026  053945  Power Supply PSU0Supply  Power Supply AC lost  Asserted   1f  05152026  053945  Power Supply PSU1Supply  Power Supply AC lost  Asserted   20  05152026  053945  Power Supply RedundantPSU  Redundancy Lost  Asserted PSU0Temp         26h  ok   100  0 degrees C PSU1Temp         27h  ok   101  0 degrees C PSU0PIn          82h  ok   100  0 Watts PSU1PIn          83h  ok   101  0 Watts PSU0POut         84h  ok   100  0 Watts</t>
  </si>
  <si>
    <t>6102228404323848</t>
  </si>
  <si>
    <t>30228103</t>
  </si>
  <si>
    <t>2026-05-15 13:30:11</t>
  </si>
  <si>
    <t>2  05152026  051306  Critical Interrupt PCIEStatus  Bus Correctable error BDF 000000  Deasserted    2  05152026  051306  Critical Interrupt PCIEStatus  Bus Correctable error BDF 000000  Deasserted    2  05152026  051306  Critical Interrupt PCIEStatus  Bus Correctable error BDF 000000  Deasserted</t>
  </si>
  <si>
    <t>6102228404323827</t>
  </si>
  <si>
    <t>2026-05-15 22:20:28</t>
  </si>
  <si>
    <t>2  05152026  140325  Critical Interrupt PCIEStatus  Bus Correctable error BDF 000000  Deasserted    2  05152026  140325  Critical Interrupt PCIEStatus  Bus Correctable error BDF 000000  Deasserted    2  05152026  140325  Critical Interrupt PCIEStatus  Bus Correctable error BDF 000000  Deasserted</t>
  </si>
  <si>
    <t>6102228404323849</t>
  </si>
  <si>
    <t>2026-05-16 00:26:52</t>
  </si>
  <si>
    <t>2a  05152026  130932  Power Unit PowerFault  State Asserted ErrorType OTHER  Asserted   2a  05152026  130932  Power Unit PowerFault  State Asserted ErrorType OTHER  Asserted check failed items 16           00000000     00000000     00000000     0000ffff     00000000     00000000</t>
  </si>
  <si>
    <t>6102228404322561</t>
  </si>
  <si>
    <t>2026-05-16 10:26:07</t>
  </si>
  <si>
    <t>Sat May 16 081551 2026 1Hardware Error Hardware error from APEI Generic Hardware Error Source 0 Sat May 16 081551 2026 1Hardware Error It has been corrected by hw and requires no further action Sat May 16 081551 2026 1Hardware Error event severity corrected Sat May 16 081551 2026 1Hardware Error  Error 0 type corrected Sat May 16 081551 2026 1Hardware Error   sectiontype PCIe error Sat May 16 081551 2026 1Hardware Error   porttype 0 PCIe end point Sat May 16 081551 2026 1Hardware Error   version</t>
  </si>
  <si>
    <t>6102228404323816</t>
  </si>
  <si>
    <t>2026-05-16 11:36:33</t>
  </si>
  <si>
    <t>2  05162026  031938  Critical Interrupt PCIEStatus  Bus Correctable error BDF 000000  Deasserted    2  05162026  031938  Critical Interrupt PCIEStatus  Bus Correctable error BDF 000000  Deasserted    2  05162026  031938  Critical Interrupt PCIEStatus  Bus Correctable error BDF 000000  Deasserted</t>
  </si>
  <si>
    <t>2026-05-15 13:51:39</t>
  </si>
  <si>
    <t>Fri May 15 134339 2026  sysvecapictimerinterrupt0x6e0x90 Fri May 15 134339 2026  asmsysvecapictimerinterrupt0x160x20 Fri May 15 134339 2026 r8152 2210 eth1 Tx timeout Fri May 15 134339 2026   excinvalidop0x130x60 Fri May 15 134339 2026   asmexcinvalidop0x160x20 May 15 134339 bytedancehostv18v2 kernel   121128418   C42 r8152 2210 eth1 Tx timeout</t>
  </si>
  <si>
    <t>6102228404316655</t>
  </si>
  <si>
    <t>2026-05-15 18:42:19</t>
  </si>
  <si>
    <t>Fri May 15 183220 2026 ibumad Unknown symbol ibunregisterclient err 22 Fri May 15 183220 2026 ibumad Unknown symbol ibmodifyport err 22 Fri May 15 183220 2026 ibumad Unknown symbol rdmadevaccessnetns err 22 Fri May 15 183220 2026 ibumad Unknown symbol ibinitahattrfromwc err 22 Fri May 15 183220 2026 ibumad Unknown symbol ibregisterclient err 22 Fri May 15 183220 2026 ibumad Unknown symbol ibunregistermadagent err 22 Fri May 15 183220 2026 ibumad Unknown symbol ibpostsendmad err 22</t>
  </si>
  <si>
    <t>6102228404316666</t>
  </si>
  <si>
    <t>2026-05-12 09:43:45</t>
  </si>
  <si>
    <t>6102117004316687</t>
  </si>
  <si>
    <t>2026-05-12 21:09:08</t>
  </si>
  <si>
    <t>check black keys fail custom toutiao task fail</t>
  </si>
  <si>
    <t>6102228404322535</t>
  </si>
  <si>
    <t>2026-05-15 20:37:31</t>
  </si>
  <si>
    <t>ODevnode 2  reasoning test PASS 20260515 203731INFODevnode 3  reasoning test PASS 20260515 203731INFODevnode 4  reasoning test PASS 20260515 203731INFODevnode 5  reasoning test PASS 20260515 203731INFODevnode 6  reasoning test PASS  FAIL BDAASLTsysenableperftest1164slt performance test model BDAASLTadagetaiufreq447info aiu clk freq  750 MHz BDAASLTadagetaiuboostmode464info aiu boost mode is on BDAASLTadascaninstalledbdmodels501total 9 models found at usrlocalsharebdtoolchainmodels      FAIL</t>
  </si>
  <si>
    <t>6102228404322557</t>
  </si>
  <si>
    <t>2026-05-15 20:47:38</t>
  </si>
  <si>
    <t>Fri May 15 204136 2026 ibumad Unknown symbol ibunregisterclient err 22 Fri May 15 204136 2026 ibumad Unknown symbol ibmodifyport err 22 Fri May 15 204136 2026 ibumad Unknown symbol rdmadevaccessnetns err 22 Fri May 15 204136 2026 ibumad Unknown symbol ibinitahattrfromwc err 22 Fri May 15 204136 2026 ibumad Unknown symbol ibregisterclient err 22 Fri May 15 204136 2026 ibumad Unknown symbol ibunregistermadagent err 22 Fri May 15 204136 2026 ibumad Unknown symbol ibpostsendmad err 22</t>
  </si>
  <si>
    <t>6102228404317352</t>
  </si>
  <si>
    <t>2026-05-15 21:32:45</t>
  </si>
  <si>
    <t>check failed items 64           00000000     00000000     00000000     00000004     00000001     00000000</t>
  </si>
  <si>
    <t>6102228404322534</t>
  </si>
  <si>
    <t>2026-05-16 10:32:44</t>
  </si>
  <si>
    <t>open tmpdatspackagecustombytedanceegshybridstresstest6h10amd64customtoutiaoblacklistcheck10amd64toutiaobytedancenicportconfjson no such file or directory</t>
  </si>
  <si>
    <t>2026-05-16 11:01:43</t>
  </si>
  <si>
    <t>6102228404322555</t>
  </si>
  <si>
    <t>2026-05-15 09:12:29</t>
  </si>
  <si>
    <t>Fri May 15 090414 2026  sysvecapictimerinterrupt0x6e0x90 Fri May 15 090414 2026  asmsysvecapictimerinterrupt0x160x20 Fri May 15 090414 2026 r8152 2210 eth1 Tx timeout Fri May 15 090414 2026   excinvalidop0x130x60 Fri May 15 090414 2026   asmexcinvalidop0x160x20 May 15 090414 bytedancehostv18v2 kernel   117032402   C44 r8152 2210 eth1 Tx timeout</t>
  </si>
  <si>
    <t>2026-05-15 13:35:20</t>
  </si>
  <si>
    <t>Program RUN CMD FAIL Creat Session cmd send fail after 10 retries</t>
  </si>
  <si>
    <t>2026-05-15 13:50:39</t>
  </si>
  <si>
    <t>3  05152026  054437  Power Supply PSU0Supply  Power Supply AC lost  Deasserted    4  05152026  054437  Power Supply PSU1Supply  Power Supply AC lost  Deasserted    3  05152026  054437  Power Supply PSU0Supply  Power Supply AC lost  Deasserted    4  05152026  054437  Power Supply PSU1Supply  Power Supply AC lost  Deasserted PSU0InletTemp   24h  ns   100  No Reading PSU0Temp         26h  ns   100  No Reading PSU0IIn          2Dh  ns   100  No Reading PSU0IOut         2Fh  ns   100  No Reading</t>
  </si>
  <si>
    <t>2026-05-15 14:24:09</t>
  </si>
  <si>
    <t>PSU0InletTemp   24h  ns   100  No Reading PSU1InletTemp   25h  ns   101  No Reading PSU0Temp         26h  ns   100  No Reading PSU1Temp         27h  ns   101  No Reading PSU0IIn          2Dh  ns   100  No Reading PSU1IIn          2Eh  ns   101  No Reading PSU0IOut         2Fh  ns   100  No Reading PSU1IOut         30h  ns   101  No Reading PSU0PIn          82h  ns   100  No Reading PSU1PIn          83h  ns   101  No Reading PSU0POut         84h  ns   100  No Reading</t>
  </si>
  <si>
    <t>2026-05-15 14:33:28</t>
  </si>
  <si>
    <t>2026-05-15 14:51:38</t>
  </si>
  <si>
    <t>6102228404322536</t>
  </si>
  <si>
    <t>2026-05-15 18:11:19</t>
  </si>
  <si>
    <t>2  05152026  095426  Critical Interrupt PCIEStatus  Bus Correctable error BDF 000000  Deasserted    2  05152026  095426  Critical Interrupt PCIEStatus  Bus Correctable error BDF 000000  Deasserted    2  05152026  095426  Critical Interrupt PCIEStatus  Bus Correctable error BDF 000000  Deasserted</t>
  </si>
  <si>
    <t>6102268004328596</t>
  </si>
  <si>
    <t>2026-05-15 22:40:14</t>
  </si>
  <si>
    <t>[客户定制][字节][长沙]轻量AC测试</t>
  </si>
  <si>
    <t>SYSTEM SEL deassert 2 05 15 2026 14 25 34 Processor CPU1 Status Correctable machine check error Deasserted</t>
  </si>
  <si>
    <t>字节_[客户定制][字节][长沙]轻量AC测试_CPU CE报错</t>
  </si>
  <si>
    <t>2026-05-15 23:16:34</t>
  </si>
  <si>
    <t>2026-05-16 06:25:31</t>
  </si>
  <si>
    <t>check switch link fatal custom toutiao task fail</t>
  </si>
  <si>
    <t>6102268004328622</t>
  </si>
  <si>
    <t>2026-05-16 07:59:26</t>
  </si>
  <si>
    <t>[字节][擎天]PSU 非冗余 抗逆转测试</t>
  </si>
  <si>
    <t>PSU SDR PSU status check failed expect PSU1 status is off current is on</t>
  </si>
  <si>
    <t>6102228404323817</t>
  </si>
  <si>
    <t>2026-05-16 11:36:30</t>
  </si>
  <si>
    <t>2  05162026  031939  Critical Interrupt PCIEStatus  Bus Correctable error BDF 000000  Deasserted    2  05162026  031939  Critical Interrupt PCIEStatus  Bus Correctable error BDF 000000  Deasserted    2  05162026  031939  Critical Interrupt PCIEStatus  Bus Correctable error BDF 000000  Deasserted</t>
  </si>
  <si>
    <t>2026-05-16 12:47:53</t>
  </si>
  <si>
    <t>20260516 124517WARNFieldiag test FAIL log tmpdatspackagecustombytedanceAdaJHSstresstestlogsfieldiagtest20260516114059allCardfieldiagtestlog 20260516 114059 bdaavs version 3120250625 20260516 114059 bdaavs cmdline bdaavs 20260516 114059 socat version socat by Gerhard Rieger and contributors  see wwwdestunreachorg socat version 1744 on Nov 25 2023 170448     FAIL</t>
  </si>
  <si>
    <t>6102192404317443</t>
  </si>
  <si>
    <t>2026-05-12 22:10:39</t>
  </si>
  <si>
    <t>f  05122026  134338  Power Supply PSU0Supply  Power Supply AC lost  Asserted   10  05122026  134338  Power Supply RedundantPSU  Redundancy Lost  Asserted PSU0PIn          82h  ok   100  0 Watts PSU0POut         84h  ok   100  0 Watts PSU0IIn          2Dh  ok   100  0 Amps PSU0IOut         2Fh  ok   100  0 Amps fail health check fatal import e7010 80860b25  LinkCap na na  LinkSta na na import e7020 80860cfe  LinkCap na na  LinkSta na na import f1000 808609a2  LinkCap na na  LinkSta na na</t>
  </si>
  <si>
    <t>字节_[客户定制][字节]黑白名单检查_前测_网卡降带宽</t>
  </si>
  <si>
    <t>2026-05-13 07:34:18</t>
  </si>
  <si>
    <t>6102228404312983</t>
  </si>
  <si>
    <t>2026-05-13 08:50:48</t>
  </si>
  <si>
    <t>Wed May 13 083629 2026 lscpu120745 segfault at 0 ip 00007f4d8ed8853e sp 00007ffe78ee2f38 error 4 in libc228so7f4d8ec52000147000 Wed May 13 083629 2026 lscpu120745 segfault at 0 ip 00007f4d8ed8853e sp 00007ffe78ee2f38 error 4 in libc228so7f4d8ec52000147000 Wed May 13 083629 2026 lscpu120745 segfault at 0 ip 00007f4d8ed8853e sp 00007ffe78ee2f38 error 4 in libc228so7f4d8ec52000147000</t>
  </si>
  <si>
    <t>2026-05-13 13:11:52</t>
  </si>
  <si>
    <t>Failed to boot NETNICP1IPV6    Start PXE over IPv4  Send DHCP DISCOVER Client MAC 643136164D1E  Recv DHCP OFFER Client MAC 643136164D1E  Send DHCP REQUEST Client MAC 643136164D1E   Failed to boot NETNICP0IPV4    Start PXE over IPv4  Send DHCP DISCOVER Client MAC 643136164D1F  Recv DHCP OFFER Client MAC 643136164D1Ftimeout didnt get login message Alert serial devttyUSB0 not existskip test   All serial port test FAIL test result FAIL RESULT        FAIL</t>
  </si>
  <si>
    <t>6102228404316680</t>
  </si>
  <si>
    <t>2026-05-13 13:49:51</t>
  </si>
  <si>
    <t>Wed May 13 133056 2026 ibumad Unknown symbol ibunregisterclient err 22 Wed May 13 133056 2026 ibumad Unknown symbol ibmodifyport err 22 Wed May 13 133056 2026 ibumad Unknown symbol rdmadevaccessnetns err 22 Wed May 13 133056 2026 ibumad Unknown symbol ibinitahattrfromwc err 22 Wed May 13 133056 2026 ibumad Unknown symbol ibregisterclient err 22 Wed May 13 133056 2026 ibumad Unknown symbol ibunregistermadagent err 22 Wed May 13 133056 2026 ibumad Unknown symbol ibpostsendmad err 22</t>
  </si>
  <si>
    <t>2026-05-14 00:18:32</t>
  </si>
  <si>
    <t>2026-05-15 15:52:35</t>
  </si>
  <si>
    <t>check failed items 16           00000000     00000000     00000000     0000ffff     00000000     00000000</t>
  </si>
  <si>
    <t>2026-05-15 22:10:49</t>
  </si>
  <si>
    <t>SYSTEM SEL error 22 05 15 2026 13 55 54 Processor CPU1 Status Correctable machine check error Asserted error 23 05 15 2026 13 55 54 Processor CPU1 Status Correctable machine check error Asserted</t>
  </si>
  <si>
    <t>6102228404323832</t>
  </si>
  <si>
    <t>2026-05-15 22:19:08</t>
  </si>
  <si>
    <t>Fri May 15 221048 2026  sysvecapictimerinterrupt0x6e0x90 Fri May 15 221048 2026  asmsysvecapictimerinterrupt0x160x20 Fri May 15 221048 2026 r8152 2210 eth1 Tx timeout Fri May 15 221048 2026   excinvalidop0x130x60 Fri May 15 221048 2026   asmexcinvalidop0x160x20 May 15 221048 bytedancehostv18v2 kernel   116009291   C37 r8152 2210 eth1 Tx timeout    2  05152026  140156  Critical Interrupt PCIEStatus  Bus Correctable error BDF 000000  Deasserted</t>
  </si>
  <si>
    <t>6102268004328617</t>
  </si>
  <si>
    <t>2026-05-15 22:27:17</t>
  </si>
  <si>
    <t>Program UNKNOW PROGRAM ERROR Execute Cycle Type Fail 0</t>
  </si>
  <si>
    <t>6102228404312987</t>
  </si>
  <si>
    <t>2026-05-11 18:46:57</t>
  </si>
  <si>
    <t>Mon May 11 184051 2026 1Hardware Error Hardware error from APEI Generic Hardware Error Source 0 Mon May 11 184051 2026 1Hardware Error It has been corrected by hw and requires no further action Mon May 11 184051 2026 1Hardware Error event severity corrected Mon May 11 184051 2026 1Hardware Error  Error 0 type corrected Mon May 11 184051 2026 1Hardware Error   sectiontype PCIe error Mon May 11 184051 2026 1Hardware Error   porttype 4 root port</t>
  </si>
  <si>
    <t>6102228404315798</t>
  </si>
  <si>
    <t>2026-05-10 03:01:53</t>
  </si>
  <si>
    <t>Failed to boot NETNICP1IPV6    Start PXE over IPv4  Send DHCP DISCOVER Client MAC F0BC50DE0820  Recv DHCP OFFER Client MAC F0BC50DE0820  Send DHCP REQUEST Client MAC F0BC50DE0820   Failed to boot NETNICP0IPV4    Start PXE over IPv4  Send DHCP DISCOVER Client MAC F0BC50DE0821  Recv DHCP OFFER Client MAC F0BC50DE0821timeout didnt get login message Alert serial devttyUSB0 not existskip test   All serial port test FAIL test result FAIL RESULT        FAIL</t>
  </si>
  <si>
    <t>6102264704305173</t>
  </si>
  <si>
    <t>2026-05-10 08:23:15</t>
  </si>
  <si>
    <t>Sun May 10 082054 2026 fio31159 segfault at 2e294 ip 0000000000464920 sp 00007ffea2ad6270 error 4 in fio40100015e000 Sun May 10 082054 2026 fio31159 segfault at 2e294 ip 0000000000464920 sp 00007ffea2ad6270 error 4 in fio40100015e000 Sun May 10 082054 2026 fio31159 segfault at 2e294 ip 0000000000464920 sp 00007ffea2ad6270 error 4 in fio40100015e000 May 10 082054 bytedancehostv13 kernel  7426095448T31159 fio31159 segfault at 2e294 ip 0000000000464920 sp 00007ffea2ad6270 error 4 in fio40100015e000</t>
  </si>
  <si>
    <t>停用字节_BytedQC 压测 Runin_硬盘识别不全</t>
  </si>
  <si>
    <t>6102228404310048</t>
  </si>
  <si>
    <t>2026-05-10 09:26:42</t>
  </si>
  <si>
    <t>4  05092026  231246  Power Supply RedundantPSU  Fully Redundant  Deasserted    9  05092026  231511  Power Supply RedundantPSU  Redundancy Lost  Deasserted    5  05092026  231246  Power Supply RedundantPSU  Redundancy Lost  Asserted    9  05092026  231511  Power Supply RedundantPSU  Redundancy Lost  Deasserted</t>
  </si>
  <si>
    <t>6102117004309876</t>
  </si>
  <si>
    <t>2026-05-11 10:33:35</t>
  </si>
  <si>
    <t>[字节][QTBQC]BD前测</t>
  </si>
  <si>
    <t>BdComponentCheck 0 FAIL</t>
  </si>
  <si>
    <t>6102228404310046</t>
  </si>
  <si>
    <t>2026-05-09 03:00:11</t>
  </si>
  <si>
    <t>6102228404310047</t>
  </si>
  <si>
    <t>2026-05-09 07:12:13</t>
  </si>
  <si>
    <t>2026-05-09 10:36:47</t>
  </si>
  <si>
    <t>6102228404304264</t>
  </si>
  <si>
    <t>2026-05-09 11:37:12</t>
  </si>
  <si>
    <t>15  05082026  231531  Power Supply RedundantPSU  Fully Redundant  Deasserted   1a  05082026  231758  Power Supply RedundantPSU  Redundancy Lost  Deasserted   16  05082026  231531  Power Supply RedundantPSU  Redundancy Lost  Asserted   1a  05082026  231758  Power Supply RedundantPSU  Redundancy Lost  Deasserted</t>
  </si>
  <si>
    <t>6102228404313010</t>
  </si>
  <si>
    <t>2026-05-09 14:37:35</t>
  </si>
  <si>
    <t>Failed to boot NETNICP0IPV4    Start PXE over IPv4  Send DHCP DISCOVER Client MAC 6431360F532D  Recv DHCP OFFER Client MAC 6431360F532Dtimeout didnt get login message Alert serial devttyUSB0 not existskip test   All serial port test FAIL test result FAIL RESULT        FAIL</t>
  </si>
  <si>
    <t>6102265104304992</t>
  </si>
  <si>
    <t>2026-05-09 13:39:17</t>
  </si>
  <si>
    <t>Program COMMON TEST ERROR check psu sensor failed except power off count 1</t>
  </si>
  <si>
    <t>2026-05-09 15:01:37</t>
  </si>
  <si>
    <t>6102265104304911</t>
  </si>
  <si>
    <t>2026-05-09 15:02:52</t>
  </si>
  <si>
    <t>Program AGENT ERROR Check result QtPDUControl 6 node1 fail</t>
  </si>
  <si>
    <t>6102228404315794</t>
  </si>
  <si>
    <t>2026-05-09 22:57:06</t>
  </si>
  <si>
    <t>2026-05-10 02:21:53</t>
  </si>
  <si>
    <t>2026-05-09 16:50:16</t>
  </si>
  <si>
    <t>6102264704305190</t>
  </si>
  <si>
    <t>2026-05-09 17:46:28</t>
  </si>
  <si>
    <t>停用字节_检查项FRU_背板FRU读取不到</t>
  </si>
  <si>
    <t>2026-05-09 21:52:14</t>
  </si>
  <si>
    <t>6102264704305233</t>
  </si>
  <si>
    <t>2026-05-08 08:40:25</t>
  </si>
  <si>
    <t>6102264704305257</t>
  </si>
  <si>
    <t>2026-05-08 09:03:58</t>
  </si>
  <si>
    <t>2026-05-08 09:29:24</t>
  </si>
  <si>
    <t>6102117004304855</t>
  </si>
  <si>
    <t>2026-05-08 02:24:58</t>
  </si>
  <si>
    <t>Fri May  8 022037 2026 xhcihcd 000000140 WARN Set TR Deq Ptr cmd failed due to incorrect slot or ep state Fri May  8 022050 2026 xhcihcd 000000140 WARN Set TR Deq Ptr cmd failed due to incorrect slot or ep state Fri May  8 022054 2026 xhcihcd 000000140 WARN Set TR Deq Ptr cmd failed due to incorrect slot or ep state Fri May  8 022056 2026 xhcihcd 000000140 WARN Set TR Deq Ptr cmd failed due to incorrect slot or ep state May  8 022037 bytedancehostv13 kernel   321279476    C9 xhcihcd 000000140 WA</t>
  </si>
  <si>
    <t>6102228404304816</t>
  </si>
  <si>
    <t>2026-05-08 13:02:04</t>
  </si>
  <si>
    <t>2  05082026  044445  Critical Interrupt PCIEStatus  Bus Correctable error BDF 000000  Deasserted    2  05082026  044445  Critical Interrupt PCIEStatus  Bus Correctable error BDF 000000  Deasserted    2  05082026  044445  Critical Interrupt PCIEStatus  Bus Correctable error BDF 000000  Deasserted</t>
  </si>
  <si>
    <t>6102264804305217</t>
  </si>
  <si>
    <t>SD8S1-I9DS3M-L</t>
  </si>
  <si>
    <t>30228380</t>
  </si>
  <si>
    <t>2026-05-08 19:41:04</t>
  </si>
  <si>
    <t>6102117004309917</t>
  </si>
  <si>
    <t>2026-05-09 03:50:08</t>
  </si>
  <si>
    <t>2e  05082026  183612  Memory P1C0D0Status  Correctable ECC  Deasserted   35  05082026  191205  Memory P1C0D0Status  Memory Device Disabled  Deasserted   41  05082026  193655  Memory P1C0D0Status  Memory Device Disabled  Deasserted   16  05082026  174717  Memory P1C0D0Status  Correctable ECC  Asserted   2b  05082026  182642  Memory P1C0D0Status  Correctable ECC  Asserted   2c  05082026  182709  Memory P1C0D0Status  Correctable ECC  Asserted</t>
  </si>
  <si>
    <t>停用字节_黑白名单检查_内存ECC报错</t>
  </si>
  <si>
    <t>6102265104304977</t>
  </si>
  <si>
    <t>2026-05-09 05:34:31</t>
  </si>
  <si>
    <t>2026-05-09 07:47:27</t>
  </si>
  <si>
    <t>6102264704305231</t>
  </si>
  <si>
    <t>2026-05-08 08:40:39</t>
  </si>
  <si>
    <t>6102264704305269</t>
  </si>
  <si>
    <t>2026-05-08 08:41:59</t>
  </si>
  <si>
    <t>2026-05-08 14:20:26</t>
  </si>
  <si>
    <t>2c  05082026  061617  Fan FAN5RSpeed  Lower Critical going low  Deasserted  Reading 768  Threshold 192 RPM   2e  05082026  061658  Fan FAN5RSpeed  Lower Critical going low  Deasserted  Reading 3744  Threshold 192 RPM   30  05082026  061754  Fan FAN5RSpeed  Lower Critical going low  Deasserted  Reading 672  Threshold 192 RPM   32  05082026  061831  Fan FAN5RSpeed  Lower Critical going low  Deasserted  Reading 384  Threshold 192 RPM</t>
  </si>
  <si>
    <t>停用字节_黑白名单_风扇转速异常</t>
  </si>
  <si>
    <t>6102265104305008</t>
  </si>
  <si>
    <t>2026-05-08 18:56:25</t>
  </si>
  <si>
    <t>[客户定制][字节] AC测试 3LOOP</t>
  </si>
  <si>
    <t>2026-05-08 19:04:00</t>
  </si>
  <si>
    <t>6102117004309926</t>
  </si>
  <si>
    <t>2026-05-09 05:51:41</t>
  </si>
  <si>
    <t>6102228404310036</t>
  </si>
  <si>
    <t>2026-05-09 10:41:50</t>
  </si>
  <si>
    <t>Sat May  9 102940 2026 mce Hardware Error Machine check events logged Sat May  9 102940 2026 mce Hardware Error CPU 0 Machine Check 0 Bank 13 8c14694200800090 Sat May  9 102940 2026 mce Hardware Error TSC 0 ADDR 6d542d40 MISC 900024011987086  Sat May  9 102940 2026 mce Hardware Error PROCESSOR 0806f8 TIME 1778293773 SOCKET 0 APIC 0 microcode 2b000643 Sat May  9 102940 2026 mce Hardware Error Machine check events logged Sat May  9 102940 2026 mce Hardware Error CPU 0 Machine Check 0 Bank 13 8c001</t>
  </si>
  <si>
    <t>停用字节_黑白名单检查_前测_内存ECC报错</t>
  </si>
  <si>
    <t>2026-05-10 03:11:03</t>
  </si>
  <si>
    <t>2  05092026  185332  Critical Interrupt PCIEStatus  Bus Correctable error BDF 000000  Deasserted    2  05092026  185332  Critical Interrupt PCIEStatus  Bus Correctable error BDF 000000  Deasserted    2  05092026  185332  Critical Interrupt PCIEStatus  Bus Correctable error BDF 000000  Deasserted</t>
  </si>
  <si>
    <t>2026-05-10 11:16:51</t>
  </si>
  <si>
    <t>6102117004309891</t>
  </si>
  <si>
    <t>2026-05-10 11:17:41</t>
  </si>
  <si>
    <t>2026-05-11 12:49:47</t>
  </si>
  <si>
    <t>[客户定制][字节]REBOOT 1LOOP</t>
  </si>
  <si>
    <t>Mon May 11 124400 2026   asmcommoninterrupt0x220x40 Mon May 11 124400 2026  sysvecapictimerinterrupt0x6e0x90 Mon May 11 124400 2026  asmsysvecapictimerinterrupt0x160x20 Mon May 11 124400 2026 r8152 2210 eth1 Tx timeout Mon May 11 124400 2026   excinvalidop0x130x60 Mon May 11 124400 2026   asmexcinvalidop0x160x20 May 11 124400 bytedancehostv18v2 kernel   103210510   C42 r8152 2210 eth1 Tx timeout check black keys fail custom toutiao task fail</t>
  </si>
  <si>
    <t>2026-05-11 16:55:39</t>
  </si>
  <si>
    <t>字节_[客户定制][字节]BF3串口通信检查_BF3串口检查失败</t>
  </si>
  <si>
    <t>6102117004316692</t>
  </si>
  <si>
    <t>2026-05-11 18:24:35</t>
  </si>
  <si>
    <t>Mon May 11 174226 2026 xhcihcd 000000140 WARN Set TR Deq Ptr cmd failed due to incorrect slot or ep state May 11 174227 bytedancehostv13 kernel   326890591    C8 xhcihcd 000000140 WARN Set TR Deq Ptr cmd failed due to incorrect slot or ep state</t>
  </si>
  <si>
    <t>2026-05-11 21:39:53</t>
  </si>
  <si>
    <t>6102228404315793</t>
  </si>
  <si>
    <t>2026-05-11 23:53:09</t>
  </si>
  <si>
    <t>Mon May 11 234705 2026 ibumad Unknown symbol ibunregisterclient err 22 Mon May 11 234705 2026 ibumad Unknown symbol ibmodifyport err 22 Mon May 11 234705 2026 ibumad Unknown symbol rdmadevaccessnetns err 22 Mon May 11 234705 2026 ibumad Unknown symbol ibinitahattrfromwc err 22 Mon May 11 234705 2026 ibumad Unknown symbol ibregisterclient err 22 Mon May 11 234705 2026 ibumad Unknown symbol ibunregistermadagent err 22 Mon May 11 234705 2026 ibumad Unknown symbol ibpostsendmad err 22</t>
  </si>
  <si>
    <t>6102117004316682</t>
  </si>
  <si>
    <t>2026-05-12 00:55:13</t>
  </si>
  <si>
    <t>fail health check fatal</t>
  </si>
  <si>
    <t>2026-05-08 06:49:00</t>
  </si>
  <si>
    <t>[字节][擎天]IFS设置检查</t>
  </si>
  <si>
    <t>2026-05-08 07:13:13</t>
  </si>
  <si>
    <t>停用字节_BytedQC 前测 PreTest_硬盘报错</t>
  </si>
  <si>
    <t>2026-05-08 08:24:17</t>
  </si>
  <si>
    <t>Fri May  8 081637 2026 xhcihcd 000000140 WARN Set TR Deq Ptr cmd failed due to incorrect slot or ep state May  8 081638 bytedancehostv13 kernel  5631963009   C10 xhcihcd 000000140 WARN Set TR Deq Ptr cmd failed due to incorrect slot or ep state</t>
  </si>
  <si>
    <t>6102264704305241</t>
  </si>
  <si>
    <t>6102264704305249</t>
  </si>
  <si>
    <t>6102264704305171</t>
  </si>
  <si>
    <t>2026-05-08 08:43:24</t>
  </si>
  <si>
    <t>local  16010 8086352a  LinkCap 320GTs x16  LinkSta 160GTs x8 local  17000 14e41751  LinkCap 160GTs x16  LinkSta 160GTs x8 import 16010 8086352a  LinkCap 320GTs x16  LinkSta 160GTs x16 import 17000 14e41751  LinkCap 160GTs x16  LinkSta 160GTs x16 compare local pci devices with import information failed PCIeLnx64 command executed failed</t>
  </si>
  <si>
    <t>2026-05-08 11:38:15</t>
  </si>
  <si>
    <t>6102117004309885</t>
  </si>
  <si>
    <t>2026-05-11 11:21:56</t>
  </si>
  <si>
    <t>2026-05-08 08:28:17</t>
  </si>
  <si>
    <t>6102264704305238</t>
  </si>
  <si>
    <t>2026-05-08 08:28:43</t>
  </si>
  <si>
    <t>6102264704305239</t>
  </si>
  <si>
    <t>2026-05-08 08:29:06</t>
  </si>
  <si>
    <t>2026-05-08 08:41:47</t>
  </si>
  <si>
    <t>6102264704305242</t>
  </si>
  <si>
    <t>2026-05-08 08:41:54</t>
  </si>
  <si>
    <t>6102264704305247</t>
  </si>
  <si>
    <t>6102264704305243</t>
  </si>
  <si>
    <t>2026-05-08 08:42:03</t>
  </si>
  <si>
    <t>6102265104304979</t>
  </si>
  <si>
    <t>2026-05-08 13:38:55</t>
  </si>
  <si>
    <t>2026-05-08 14:50:07</t>
  </si>
  <si>
    <t>Fri May  8 144657 2026 mce Hardware Error Machine check events logged Fri May  8 144657 2026 EDAC skx MC3 HANDLING MCE MEMORY ERROR Fri May  8 144657 2026 EDAC DEBUG skxmceoutputerror  errcode0x00800x0090  SystemAddress0x2aa56a3f00 ProcessorSocketId0x0 MemoryControllerId0x3 ChannelAddress0x708e70a00 ChannelId0x0 RankAddress0x1c239c280 PhysicalRankId0x0 DimmSlotId0x0 DimmRankId0x0 Row0x501e Column0x4b0 Bank0x1 BankGroup0x6 ChipSelect0x0 retryrderrlog08808208 0000007a 4000000020000000 12c58002 800</t>
  </si>
  <si>
    <t>停用字节_AC测试-10LOOP_内存MCE报错</t>
  </si>
  <si>
    <t>2026-05-08 18:41:53</t>
  </si>
  <si>
    <t>check power button lock status fail custom toutiao task fail</t>
  </si>
  <si>
    <t>6102228404304281</t>
  </si>
  <si>
    <t>2026-05-09 01:24:36</t>
  </si>
  <si>
    <t>P7HCUTemp       8Fh  ns    725  No Reading import 01000 15b3197b  LinkCap 320GTs x16  LinkSta 320GTs x16 import 02000 15b3197b  LinkCap 320GTs x16  LinkSta 320GTs x16 import 02030 15b3197b  LinkCap 320GTs x16  LinkSta 320GTs x16 import 03000 15b3a2dc  LinkCap 320GTs x16  LinkSta 320GTs x16 import 03001 15b3a2dc  LinkCap 320GTs x16  LinkSta 320GTs x16 import 04000 15b3197b  LinkCap 320GTs x16  LinkSta 320GTs x16</t>
  </si>
  <si>
    <t>2026-05-08 11:56:42</t>
  </si>
  <si>
    <t>2026-05-08 18:00:38</t>
  </si>
  <si>
    <t>2026-05-09 02:31:55</t>
  </si>
  <si>
    <t>2026-05-09 02:47:51</t>
  </si>
  <si>
    <t>2026-05-08 08:28:11</t>
  </si>
  <si>
    <t>6102264704305252</t>
  </si>
  <si>
    <t>2026-05-08 08:42:02</t>
  </si>
  <si>
    <t>2026-05-08 12:37:26</t>
  </si>
  <si>
    <t>停用字节_[擎天]老化功能测试_进风口温度异常</t>
  </si>
  <si>
    <t>6102264704305248</t>
  </si>
  <si>
    <t>2026-05-08 18:11:20</t>
  </si>
  <si>
    <t>6102265104304997</t>
  </si>
  <si>
    <t>2026-05-08 19:38:17</t>
  </si>
  <si>
    <t>6102228404304253</t>
  </si>
  <si>
    <t>2026-05-08 20:52:42</t>
  </si>
  <si>
    <t>Devnode 6  reasoning test PASS 20260508 205242INFODevnode 7  reasoning test PASS 20260508 205242INFODevnode 8  reasoning test PASS 20260508 205242INFODevnode 9  reasoning test PASS 20260508 205242INFODevnode 10  reasoning test PASS  FAIL BDAASLTsysenableperftest1164slt performance test model BDAASLTadagetaiufreq447info aiu clk freq  750 MHz BDAASLTadagetaiuboostmode464info aiu boost mode is on BDAASLTadascaninstalledbdmodels501total 9 models found at usrlocalsharebdtoolchainmodels      FAIL</t>
  </si>
  <si>
    <t>2026-05-08 22:26:27</t>
  </si>
  <si>
    <t>6102264704305198</t>
  </si>
  <si>
    <t>2026-05-08 23:36:00</t>
  </si>
  <si>
    <t>32  05082026  153057  Power Supply PSU3Supply  Predictive failure  Asserted   32  05082026  153057  Power Supply PSU3Supply  Predictive failure  Asserted</t>
  </si>
  <si>
    <t>停用字节_EGS混合压测-6H_PSU灯不亮</t>
  </si>
  <si>
    <t>2026-05-08 23:54:53</t>
  </si>
  <si>
    <t>2026-05-09 00:26:05</t>
  </si>
  <si>
    <t>2026-05-08 04:14:48</t>
  </si>
  <si>
    <t>[字节]Changsha BMC 检查项</t>
  </si>
  <si>
    <t>COMMON BOARD ERROR SDR BMC sdr blacklist test fail</t>
  </si>
  <si>
    <t>2026-05-08 05:04:23</t>
  </si>
  <si>
    <t>ardstress test PASS 20260508 050423INFODevnode 2  boardstress test PASS 20260508 050423INFODevnode 3  boardstress test PASS 20260508 050423INFODevnode 4  boardstress test PASS 20260508 050423INFODevnode 5  boardstress test PASS  FAIL testmode system testcmd  enable stressTest all 3600 modelid1 card10 BDAASLTsysenablestresstest431parse count argument success seconds3600 BDAASLTadadostresstestaiu566slt stress test for 3600 seconds ALL BDAASLTadagetaiufreq447info aiu clk freq  750 MHz     FAIL</t>
  </si>
  <si>
    <t>2026-05-08 07:06:02</t>
  </si>
  <si>
    <t>2  05072026  224910  Critical Interrupt PCIEStatus  Bus Correctable error BDF 000000  Deasserted    2  05072026  224910  Critical Interrupt PCIEStatus  Bus Correctable error BDF 000000  Deasserted    2  05072026  224910  Critical Interrupt PCIEStatus  Bus Correctable error BDF 000000  Deasserted</t>
  </si>
  <si>
    <t>字节_[字节][千岛湖]BOX测试前BMC设置设置V2_无法获取BMC IP</t>
  </si>
  <si>
    <t>2026-05-08 08:41:46</t>
  </si>
  <si>
    <t>6102264704305253</t>
  </si>
  <si>
    <t>6102264704305254</t>
  </si>
  <si>
    <t>6102264704305262</t>
  </si>
  <si>
    <t>2026-05-08 09:03:43</t>
  </si>
  <si>
    <t>2026-05-08 10:28:36</t>
  </si>
  <si>
    <t>2026-05-08 11:09:20</t>
  </si>
  <si>
    <t>COMMON BOARD ERROR FUNCTION Black list check fail fail type sel message</t>
  </si>
  <si>
    <t>6102228404301159</t>
  </si>
  <si>
    <t>2026-05-08 13:55:26</t>
  </si>
  <si>
    <t>Fri May  8 134959 2026 ACCELPCIEadainbootmode468 card 12 ada boot mode pcie read deteced error value 0xFFFFFFFF Fri May  8 134959 2026 T9321ADA Device at 0000b9000 Xid 0x20846001 pidunknown namekworker4810 SW Access PCIE Error Fri May  8 134959 2026 ACCELPCIEadadetectsochang2211 ada hang detect error device12 reg value ffffffff Fri May  8 134959 2026 T1188ADA Device at 0000b9000 Xid 0x20846001 pidunknown namekworker481 SW Access PCIE Error</t>
  </si>
  <si>
    <t>6102265104304909</t>
  </si>
  <si>
    <t>2026-05-08 14:26:51</t>
  </si>
  <si>
    <t>COMMON BOARD ERROR FUNCTION Black list check fail fail type dmessage message</t>
  </si>
  <si>
    <t>2026-05-08 08:28:16</t>
  </si>
  <si>
    <t>2026-05-08 13:11:39</t>
  </si>
  <si>
    <t>6102228404304271</t>
  </si>
  <si>
    <t>2026-05-08 14:16:45</t>
  </si>
  <si>
    <t>Fri May  8 135832 2026 ibumad Unknown symbol ibunregisterclient err 22 Fri May  8 135832 2026 ibumad Unknown symbol ibmodifyport err 22 Fri May  8 135832 2026 ibumad Unknown symbol rdmadevaccessnetns err 22 Fri May  8 135832 2026 ibumad Unknown symbol ibinitahattrfromwc err 22 Fri May  8 135832 2026 ibumad Unknown symbol ibregisterclient err 22 Fri May  8 135832 2026 ibumad Unknown symbol ibunregistermadagent err 22 Fri May  8 135832 2026 ibumad Unknown symbol ibpostsendmad err 22</t>
  </si>
  <si>
    <t>2026-05-09 01:34:45</t>
  </si>
  <si>
    <t>2026-05-09 02:12:57</t>
  </si>
  <si>
    <t>6102117004304164</t>
  </si>
  <si>
    <t>2026-05-08 15:49:23</t>
  </si>
  <si>
    <t>6102117004304690</t>
  </si>
  <si>
    <t>2026-05-08 17:01:22</t>
  </si>
  <si>
    <t>Fri May  8 170000 2026  smpapictimerinterrupt0x680x120 Fri May  8 170000 2026  apictimerinterrupt0xf0x20 Fri May  8 170000 2026 r8152 2210 eth2 Tx timeout May  8 170001 bytedancehostv13 kernel    56386049    C9  smpapictimerinterrupt0x680x120 May  8 170001 bytedancehostv13 kernel    56386051    C9  apictimerinterrupt0xf0x20 May  8 170001 bytedancehostv13 kernel    56404872    C9 r8152 2210 eth2 Tx timeout check black list fail LAST LOOP Check fail</t>
  </si>
  <si>
    <t>2026-05-08 17:05:17</t>
  </si>
  <si>
    <t>6102228404304280</t>
  </si>
  <si>
    <t>2026-05-08 18:24:48</t>
  </si>
  <si>
    <t>Fri May  8 180602 2026 ibumad Unknown symbol ibunregisterclient err 22 Fri May  8 180602 2026 ibumad Unknown symbol ibmodifyport err 22 Fri May  8 180602 2026 ibumad Unknown symbol rdmadevaccessnetns err 22 Fri May  8 180602 2026 ibumad Unknown symbol ibinitahattrfromwc err 22 Fri May  8 180602 2026 ibumad Unknown symbol ibregisterclient err 22 Fri May  8 180602 2026 ibumad Unknown symbol ibunregistermadagent err 22 Fri May  8 180602 2026 ibumad Unknown symbol ibpostsendmad err 22</t>
  </si>
  <si>
    <t>6102117004304116</t>
  </si>
  <si>
    <t>2026-05-08 19:04:54</t>
  </si>
  <si>
    <t>[客户定制][字节] EGS REBOOT测试 1LOOP</t>
  </si>
  <si>
    <t>Fri May  8 190243 2026  smpapictimerinterrupt0x680x120 Fri May  8 190243 2026  apictimerinterrupt0xf0x20 Fri May  8 190243 2026 r8152 2210 eth1 Tx timeout May  8 190244 bytedancehostv13 kernel   189459539   C39  smpapictimerinterrupt0x680x120 May  8 190244 bytedancehostv13 kernel   189459542   C39  apictimerinterrupt0xf0x20 May  8 190244 bytedancehostv13 kernel   189459591   C39 r8152 2210 eth1 Tx timeout check black list fail LAST LOOP Check fail</t>
  </si>
  <si>
    <t>2026-05-08 00:25:14</t>
  </si>
  <si>
    <t>6102117004312825</t>
  </si>
  <si>
    <t>2026-05-09 23:15:36</t>
  </si>
  <si>
    <t>Sat May  9 231337 2026 r8152 2210 eth2 Get ether addr fail Sat May  9 231337 2026  smpapictimerinterrupt0x680x120 Sat May  9 231337 2026  apictimerinterrupt0xf0x20 Sat May  9 231337 2026 r8152 2210 eth2 Tx timeout May  9 231337 bytedancehostv13 kernel    55288629    C8  smpapictimerinterrupt0x680x120 May  9 231337 bytedancehostv13 kernel    55288633    C8  apictimerinterrupt0xf0x20 May  9 231337 bytedancehostv13 kernel    55288706    C8 r8152 2210 eth2 Tx timeout</t>
  </si>
  <si>
    <t>6102228404304263</t>
  </si>
  <si>
    <t>2026-05-10 09:59:22</t>
  </si>
  <si>
    <t>Sun May 10 095405 2026  sysvecapictimerinterrupt0x6e0x90 Sun May 10 095405 2026  asmsysvecapictimerinterrupt0x160x20 Sun May 10 095405 2026 r8152 2210 eth1 Tx timeout Sun May 10 095405 2026   excinvalidop0x130x60 Sun May 10 095405 2026   asmexcinvalidop0x160x20 May 10 095405 bytedancehostv18v2 kernel   120106440   C41 r8152 2210 eth1 Tx timeout check black keys fail custom toutiao task fail</t>
  </si>
  <si>
    <t>2026-05-11 11:07:19</t>
  </si>
  <si>
    <t>Program MIDDLEWARE ERROR Download bqc hardware file fail</t>
  </si>
  <si>
    <t>2026-05-11 11:29:07</t>
  </si>
  <si>
    <t>6102264704305211</t>
  </si>
  <si>
    <t>2026-05-09 03:09:14</t>
  </si>
  <si>
    <t>35  05082026  190341  Power Supply RedundantPSU  Fully Redundant  Deasserted   34  05082026  190336  Power Supply PSU3Supply  Power Supply AC lost  Asserted   36  05082026  190341  Power Supply RedundantPSU  Redundancy Lost  Asserted PSU3PIn          88h  ok   103  0 Watts PSU3POut         8Ch  ok   103  0 Watts PSU3IIn          31h  ok   103  0 Amps PSU3IOut         35h  ok   103  0 Amps fail health check fatal</t>
  </si>
  <si>
    <t>6102117004309901</t>
  </si>
  <si>
    <t>2026-05-09 03:14:01</t>
  </si>
  <si>
    <t>Sat May  9 031233 2026  smpapictimerinterrupt0x680x120 Sat May  9 031233 2026  apictimerinterrupt0xf0x20 Sat May  9 031233 2026 r8152 2210 eth2 Tx timeout May  9 031234 bytedancehostv13 kernel    43571642    C9  smpapictimerinterrupt0x680x120 May  9 031234 bytedancehostv13 kernel    43571644    C9  apictimerinterrupt0xf0x20 May  9 031234 bytedancehostv13 kernel    43589807    C9 r8152 2210 eth2 Tx timeout check black list first fail</t>
  </si>
  <si>
    <t>2026-05-09 04:12:49</t>
  </si>
  <si>
    <t>Sat May  9 035429 2026 xhcihcd 000000140 WARN Set TR Deq Ptr cmd failed due to incorrect slot or ep state May  9 035429 bytedancehostv13 kernel  1722799753   C10 xhcihcd 000000140 WARN Set TR Deq Ptr cmd failed due to incorrect slot or ep state</t>
  </si>
  <si>
    <t>2026-05-09 08:40:56</t>
  </si>
  <si>
    <t>PSU3PIn          88h  ok   103  0 Watts PSU3POut         8Ch  ok   103  0 Watts PSU3IIn          31h  ok   103  0 Amps PSU3IOut         35h  ok   103  0 Amps fail health check fatal</t>
  </si>
  <si>
    <t>2026-05-09 09:31:45</t>
  </si>
  <si>
    <t>Sat May  9 092645 2026 pcieport 000029070 DPC unmasked uncorrectable error detected Sat May  9 092645 2026 pcieport 000029070 AER PCIe Bus Error severityUncorrected NonFatal typeTransaction Layer Requester ID Sat May  9 092645 2026 pcieport 000029070 AER   device 8086352d error statusmask0000400000188020 Sat May  9 092645 2026 pci 00002d000 AER cant recover no errordetected callback Sat May  9 092645 2026 pcieport 000029070 DPC unmasked uncorrectable error detected</t>
  </si>
  <si>
    <t>2026-05-09 10:53:40</t>
  </si>
  <si>
    <t>2026-05-09 11:08:37</t>
  </si>
  <si>
    <t>2026-05-09 11:27:31</t>
  </si>
  <si>
    <t>Sat May  9 112354 2026 xhcihcd 000000140 WARN Set TR Deq Ptr cmd failed due to incorrect slot or ep state Sat May  9 112408 2026 xhcihcd 000000140 WARN Set TR Deq Ptr cmd failed due to incorrect slot or ep state May  9 112355 bytedancehostv13 kernel   342228055   C11 xhcihcd 000000140 WARN Set TR Deq Ptr cmd failed due to incorrect slot or ep state May  9 112409 bytedancehostv13 kernel   356186674   C11 xhcihcd 000000140 WARN Set TR Deq Ptr cmd failed due to incorrect slot or ep state</t>
  </si>
  <si>
    <t>2026-05-09 13:12:36</t>
  </si>
  <si>
    <t>GPU3Temp         8Bh  ns    721  No Reading check box1 black list first fail GPU3Temp         8Bh  ns    721  No Reading check box1 black keys fail check pcie fail custom toutiao task fail</t>
  </si>
  <si>
    <t>2026-05-09 13:38:44</t>
  </si>
  <si>
    <t>6102228404310043</t>
  </si>
  <si>
    <t>2026-05-10 08:23:05</t>
  </si>
  <si>
    <t>Sun May 10 081446 2026  sysvecapictimerinterrupt0x6e0x90 Sun May 10 081446 2026  asmsysvecapictimerinterrupt0x160x20 Sun May 10 081446 2026 r8152 2210 eth1 Tx timeout Sun May 10 081446 2026   excinvalidop0x130x60 Sun May 10 081446 2026   asmexcinvalidop0x160x20 May 10 081446 bytedancehostv18v2 kernel   116007434  C125 r8152 2210 eth1 Tx timeout</t>
  </si>
  <si>
    <t>2026-05-11 14:35:14</t>
  </si>
  <si>
    <t>6102228404312974</t>
  </si>
  <si>
    <t>2026-05-11 15:14:09</t>
  </si>
  <si>
    <t>6102117004312881</t>
  </si>
  <si>
    <t>2026-05-11 16:32:54</t>
  </si>
  <si>
    <t>5  05112026  031028  Drive Slot  Bay NVMEStatus  Drive Present Drive Slot14  Deasserted    6  05112026  031028  Critical Interrupt PCIEStatus  Bus Correctable error BDF 000000  Deasserted    4  05112026  031025  Critical Interrupt PCIEStatus  Bus Correctable error BDF aa0300  Asserted    6  05112026  031028  Critical Interrupt PCIEStatus  Bus Correctable error BDF 000000  Deasserted    4  05112026  031025  Critical Interrupt PCIEStatus  Bus Correctable error BDF aa0300  Asserted</t>
  </si>
  <si>
    <t>6102228404304841</t>
  </si>
  <si>
    <t>2026-05-09 14:51:07</t>
  </si>
  <si>
    <t>Sat May  9 144408 2026  sysvecapictimerinterrupt0x6e0x90 Sat May  9 144408 2026  asmsysvecapictimerinterrupt0x160x20 Sat May  9 144408 2026 r8152 2210 eth1 Tx timeout Sat May  9 144408 2026   excinvalidop0x130x60 Sat May  9 144408 2026   asmexcinvalidop0x160x20 May  9 144408 bytedancehostv18v2 kernel   182057368   C40 r8152 2210 eth1 Tx timeout check black list fail LAST LOOP Check fail</t>
  </si>
  <si>
    <t>6102228404316641</t>
  </si>
  <si>
    <t>2026-05-11 17:49:11</t>
  </si>
  <si>
    <t>2026-05-11 17:58:47</t>
  </si>
  <si>
    <t>PSU2PIn          65h  ok   107  0 Watts PSU2POut         69h  ok   1011  0 Watts PSU2IIn          6Dh  ok   1015  0 Amps PSU2IOut         71h  ok   1019  0 Amps</t>
  </si>
  <si>
    <t>2026-05-09 20:38:43</t>
  </si>
  <si>
    <t>6102228404313011</t>
  </si>
  <si>
    <t>2026-05-11 14:29:29</t>
  </si>
  <si>
    <t>Mon May 11 140959 2026 ibumad Unknown symbol ibunregisterclient err 22 Mon May 11 140959 2026 ibumad Unknown symbol ibmodifyport err 22 Mon May 11 140959 2026 ibumad Unknown symbol rdmadevaccessnetns err 22 Mon May 11 140959 2026 ibumad Unknown symbol ibinitahattrfromwc err 22 Mon May 11 140959 2026 ibumad Unknown symbol ibregisterclient err 22 Mon May 11 140959 2026 ibumad Unknown symbol ibunregistermadagent err 22 Mon May 11 140959 2026 ibumad Unknown symbol ibpostsendmad err 22</t>
  </si>
  <si>
    <t>6102228404312979</t>
  </si>
  <si>
    <t>2026-05-11 20:30:28</t>
  </si>
  <si>
    <t>Mon May 11 202022 2026 ibumad Unknown symbol ibunregisterclient err 22 Mon May 11 202022 2026 ibumad Unknown symbol ibmodifyport err 22 Mon May 11 202022 2026 ibumad Unknown symbol rdmadevaccessnetns err 22 Mon May 11 202022 2026 ibumad Unknown symbol ibinitahattrfromwc err 22 Mon May 11 202022 2026 ibumad Unknown symbol ibregisterclient err 22 Mon May 11 202022 2026 ibumad Unknown symbol ibunregistermadagent err 22 Mon May 11 202022 2026 ibumad Unknown symbol ibpostsendmad err 22</t>
  </si>
  <si>
    <t>6102228404315788</t>
  </si>
  <si>
    <t>2026-05-11 21:02:05</t>
  </si>
  <si>
    <t>Mon May 11 205559 2026 ibumad Unknown symbol ibunregisterclient err 22 Mon May 11 205559 2026 ibumad Unknown symbol ibmodifyport err 22 Mon May 11 205559 2026 ibumad Unknown symbol rdmadevaccessnetns err 22 Mon May 11 205559 2026 ibumad Unknown symbol ibinitahattrfromwc err 22 Mon May 11 205559 2026 ibumad Unknown symbol ibregisterclient err 22 Mon May 11 205559 2026 ibumad Unknown symbol ibunregistermadagent err 22 Mon May 11 205559 2026 ibumad Unknown symbol ibpostsendmad err 22</t>
  </si>
  <si>
    <t>2026-05-11 21:43:15</t>
  </si>
  <si>
    <t>2026-05-12 05:12:08</t>
  </si>
  <si>
    <t>2026-05-12 09:54:14</t>
  </si>
  <si>
    <t>3  05122026  014220  Power Supply B0PSU3Supply  Power Supply AC lost  Deasserted    4  05122026  014220  Power Supply B0PSU3Supply  AC outofrange but present  Deasserted    3  05122026  014220  Power Supply B0PSU3Supply  Power Supply AC lost  Deasserted    4  05122026  014220  Power Supply B0PSU3Supply  AC outofrange but present  Deasserted    5  05122026  014138  Power Supply RedundantPSU  Redundancy Lost  Deasserted    5  05122026  014138  Power Supply RedundantPSU  Redundancy Lost  Deasserted</t>
  </si>
  <si>
    <t>6102228404315800</t>
  </si>
  <si>
    <t>2026-05-12 10:14:02</t>
  </si>
  <si>
    <t>Tue May 12 100637 2026 ibumad Unknown symbol ibunregisterclient err 22 Tue May 12 100637 2026 ibumad Unknown symbol ibmodifyport err 22 Tue May 12 100637 2026 ibumad Unknown symbol rdmadevaccessnetns err 22 Tue May 12 100637 2026 ibumad Unknown symbol ibinitahattrfromwc err 22 Tue May 12 100637 2026 ibumad Unknown symbol ibregisterclient err 22 Tue May 12 100637 2026 ibumad Unknown symbol ibunregistermadagent err 22 Tue May 12 100637 2026 ibumad Unknown symbol ibpostsendmad err 22</t>
  </si>
  <si>
    <t>2026-05-09 07:12:05</t>
  </si>
  <si>
    <t>2026-05-09 13:36:46</t>
  </si>
  <si>
    <t>2026-05-10 05:58:04</t>
  </si>
  <si>
    <t>c  05092026  094238  OEM record cd  00b3dd  bacc02030000 Current PCIe devices do not match PCIe topology</t>
  </si>
  <si>
    <t>2026-05-10 06:19:26</t>
  </si>
  <si>
    <t>[字节]Changsha memtester混合fio测试</t>
  </si>
  <si>
    <t>2026-05-10 11:03:04</t>
  </si>
  <si>
    <t>Sun May 10 105644 2026 ibumad Unknown symbol ibunregisterclient err 22 Sun May 10 105644 2026 ibumad Unknown symbol ibmodifyport err 22 Sun May 10 105644 2026 ibumad Unknown symbol rdmadevaccessnetns err 22 Sun May 10 105644 2026 ibumad Unknown symbol ibinitahattrfromwc err 22 Sun May 10 105644 2026 ibumad Unknown symbol ibregisterclient err 22 Sun May 10 105644 2026 ibumad Unknown symbol ibunregistermadagent err 22 Sun May 10 105644 2026 ibumad Unknown symbol ibpostsendmad err 22</t>
  </si>
  <si>
    <t>2026-05-12 19:38:41</t>
  </si>
  <si>
    <t>6102117004316706</t>
  </si>
  <si>
    <t>2026-05-12 23:47:07</t>
  </si>
  <si>
    <t>6102228404317327</t>
  </si>
  <si>
    <t>2026-05-13 07:22:00</t>
  </si>
  <si>
    <t>2026-05-13 07:33:17</t>
  </si>
  <si>
    <t>2026-05-13 15:25:49</t>
  </si>
  <si>
    <t>[字节][擎天]DPU DC测试</t>
  </si>
  <si>
    <t>2026-05-08 08:41:48</t>
  </si>
  <si>
    <t>6102117004304161</t>
  </si>
  <si>
    <t>2026-05-08 16:59:59</t>
  </si>
  <si>
    <t>停用字节_黑白名单检查_硬盘报错</t>
  </si>
  <si>
    <t>6102264704305208</t>
  </si>
  <si>
    <t>2026-05-08 17:02:00</t>
  </si>
  <si>
    <t>Fri May  8 163615 2026 xhcihcd 000000140 WARN Set TR Deq Ptr cmd failed due to incorrect slot or ep state May  8 163615 bytedancehostv13 kernel 10686796309   C17 xhcihcd 000000140 WARN Set TR Deq Ptr cmd failed due to incorrect slot or ep state check black list first fail custom toutiao task fail</t>
  </si>
  <si>
    <t>2026-05-08 19:04:14</t>
  </si>
  <si>
    <t>[字节][QTBQC]节点AC</t>
  </si>
  <si>
    <t>Program RUN CMD FAIL node 2 ping fail please check node status</t>
  </si>
  <si>
    <t>2026-05-09 03:52:18</t>
  </si>
  <si>
    <t>2026-05-09 07:13:08</t>
  </si>
  <si>
    <t>2026-05-09 13:18:53</t>
  </si>
  <si>
    <t>PSU1PIn          64h  ok   106  0 Watts PSU1POut         68h  ok   1010  0 Watts PSU1IIn          6Ch  ok   1014  0 Amps PSU1IOut         70h  ok   1018  0 Amps import 01000 15b3197b  LinkCap 320GTs x16  LinkSta 320GTs x16 import 02000 15b3197b  LinkCap 320GTs x16  LinkSta 320GTs x16 import 02030 15b3197b  LinkCap 320GTs x16  LinkSta 320GTs x16 import 03000 15b3a2dc  LinkCap 320GTs x16  LinkSta 320GTs x16 import 03001 15b3a2dc  LinkCap 320GTs x16  LinkSta 320GTs x16</t>
  </si>
  <si>
    <t>2026-05-14 17:43:52</t>
  </si>
  <si>
    <t>Failed to boot NETNICP1IPV6    Start PXE over IPv4  Send DHCP DISCOVER Client MAC F0BC50DE1E64  Recv DHCP OFFER Client MAC F0BC50DE1E64  Send DHCP REQUEST Client MAC F0BC50DE1E64   Failed to boot NETNICP0IPV4    Start PXE over IPv4  Send DHCP DISCOVER Client MAC F0BC50DE1E65  Recv DHCP OFFER Client MAC F0BC50DE1E65timeout didnt get login message Alert serial devttyUSB0 not existskip test   All serial port test FAIL test result FAIL RESULT        FAIL</t>
  </si>
  <si>
    <t>2026-05-14 19:02:27</t>
  </si>
  <si>
    <t>6102228404316648</t>
  </si>
  <si>
    <t>2026-05-15 02:25:54</t>
  </si>
  <si>
    <t>d  05142026  175555  Power Supply B0PSU0Supply  Power Supply AC lost  Deasserted    e  05142026  175555  Power Supply B0PSU0Supply  AC outofrange but present  Deasserted    b  05142026  174816  Power Supply B0PSU0Supply  Power Supply AC lost  Asserted    d  05142026  175555  Power Supply B0PSU0Supply  Power Supply AC lost  Deasserted    c  05142026  174816  Power Supply B0PSU0Supply  AC outofrange but present  Asserted    e  05142026  175555  Power Supply B0PSU0Supply  AC outofrange but present</t>
  </si>
  <si>
    <t>2026-05-15 06:22:22</t>
  </si>
  <si>
    <t>18  05142026  174746  Power Supply RedundantPSU  Fully Redundant  Deasserted   1d  05142026  175517  Power Supply RedundantPSU  Redundancy Lost  Deasserted   19  05142026  174746  Power Supply RedundantPSU  Redundancy Lost  Asserted   1d  05142026  175517  Power Supply RedundantPSU  Redundancy Lost  Deasserted</t>
  </si>
  <si>
    <t>6102228404310032</t>
  </si>
  <si>
    <t>2026-05-09 14:39:28</t>
  </si>
  <si>
    <t>Sat May  9 141644 2026 ibumad Unknown symbol ibunregisterclient err 22 Sat May  9 141644 2026 ibumad Unknown symbol ibmodifyport err 22 Sat May  9 141644 2026 ibumad Unknown symbol rdmadevaccessnetns err 22 Sat May  9 141644 2026 ibumad Unknown symbol ibinitahattrfromwc err 22 Sat May  9 141644 2026 ibumad Unknown symbol ibregisterclient err 22 Sat May  9 141644 2026 ibumad Unknown symbol ibunregistermadagent err 22 Sat May  9 141644 2026 ibumad Unknown symbol ibpostsendmad err 22</t>
  </si>
  <si>
    <t>6102228404304824</t>
  </si>
  <si>
    <t>2026-05-09 15:19:05</t>
  </si>
  <si>
    <t>Sat May  9 150032 2026 ibumad Unknown symbol ibunregisterclient err 22 Sat May  9 150032 2026 ibumad Unknown symbol ibmodifyport err 22 Sat May  9 150032 2026 ibumad Unknown symbol rdmadevaccessnetns err 22 Sat May  9 150032 2026 ibumad Unknown symbol ibinitahattrfromwc err 22 Sat May  9 150032 2026 ibumad Unknown symbol ibregisterclient err 22 Sat May  9 150032 2026 ibumad Unknown symbol ibunregistermadagent err 22 Sat May  9 150032 2026 ibumad Unknown symbol ibpostsendmad err 22</t>
  </si>
  <si>
    <t>2026-05-09 15:33:14</t>
  </si>
  <si>
    <t>2026-05-10 04:43:12</t>
  </si>
  <si>
    <t>6102228404315792</t>
  </si>
  <si>
    <t>2026-05-10 11:20:01</t>
  </si>
  <si>
    <t>[客户定制][字节][TMS/JHS]部件FW刷新</t>
  </si>
  <si>
    <t>Check JHS Number Fail EXP 16  ACT 0 index  BusDevFunc  vendor  device        pcidev      acceldev         model  dmatype  dmamode    status   10000 Processing accelerators Device 1e931003 rev 02     FAIL</t>
  </si>
  <si>
    <t>2026-05-10 12:29:02</t>
  </si>
  <si>
    <t>Sun May 10 120649 2026 mce Hardware Error Machine check events logged Sun May 10 120649 2026 1Hardware Error Hardware error from APEI Generic Hardware Error Source 0 Sun May 10 120649 2026 1Hardware Error It has been corrected by hw and requires no further action Sun May 10 120649 2026 1Hardware Error event severity corrected Sun May 10 120649 2026 1Hardware Error  Error 0 type corrected Sun May 10 120649 2026 1Hardware Error  frutext Socket1 Sun May 10 120649 2026 1Hardware Error   sectiontype</t>
  </si>
  <si>
    <t>2026-05-15 13:26:01</t>
  </si>
  <si>
    <t>2  05152026  050904  Critical Interrupt PCIEStatus  Bus Correctable error BDF 000000  Deasserted    2  05152026  050904  Critical Interrupt PCIEStatus  Bus Correctable error BDF 000000  Deasserted    2  05152026  050904  Critical Interrupt PCIEStatus  Bus Correctable error BDF 000000  Deasserted</t>
  </si>
  <si>
    <t>2026-05-15 23:47:40</t>
  </si>
  <si>
    <t>2026-05-16 09:02:32</t>
  </si>
  <si>
    <t>6102265104304957</t>
  </si>
  <si>
    <t>2026-05-10 12:59:16</t>
  </si>
  <si>
    <t>2026-05-10 13:20:20</t>
  </si>
  <si>
    <t>Sun May 10 131044 2026 r8152 2210 Direct firmware load for rtlnicrtl8153a3fw failed with error 2 Sun May 10 131044 2026 r8152 2210 Direct firmware load for rtlnicrtl8153a3fw failed with error 2 Sun May 10 131044 2026 r8152 2210 Direct firmware load for rtlnicrtl8153a3fw failed with error 2</t>
  </si>
  <si>
    <t>2026-05-10 15:20:46</t>
  </si>
  <si>
    <t>6102265104304925</t>
  </si>
  <si>
    <t>2026-05-10 18:39:58</t>
  </si>
  <si>
    <t>2026-05-14 09:44:58</t>
  </si>
  <si>
    <t>6102228404317358</t>
  </si>
  <si>
    <t>2026-05-14 11:13:57</t>
  </si>
  <si>
    <t>Thu May 14 105521 2026 ibumad Unknown symbol ibunregisterclient err 22 Thu May 14 105521 2026 ibumad Unknown symbol ibmodifyport err 22 Thu May 14 105521 2026 ibumad Unknown symbol rdmadevaccessnetns err 22 Thu May 14 105521 2026 ibumad Unknown symbol ibinitahattrfromwc err 22 Thu May 14 105521 2026 ibumad Unknown symbol ibregisterclient err 22 Thu May 14 105521 2026 ibumad Unknown symbol ibunregistermadagent err 22 Thu May 14 105521 2026 ibumad Unknown symbol ibpostsendmad err 22</t>
  </si>
  <si>
    <t>2026-05-14 11:31:32</t>
  </si>
  <si>
    <t>PCI   Local addr  00009e000 LnkCap  16GTsx4 LnkSta  16GTsx4 equal  PCI   Local addr  00009f000 LnkCap  16GTsx4 LnkSta  16GTsx4 equal  PCI   Local addr  0000a0000 LnkCap  16GTsx4 LnkSta  16GTsx4 equal  PCI1 Local Count  3  PCI1 check result fail PCI check result fail  Disk  Disk0 Input SN  B5400016 Model  SOLIDIGM SSDPF2KX038T1 Count  4 Revision 9CV10511  Disk0 Local Count  3  Disk0 check result fail Disk check result fail</t>
  </si>
  <si>
    <t>6102228404323852</t>
  </si>
  <si>
    <t>2026-05-14 15:32:46</t>
  </si>
  <si>
    <t>Failed to boot NETNICP1IPV6    Start PXE over IPv4  Send DHCP DISCOVER Client MAC F0BC508B38E8  Recv DHCP OFFER Client MAC F0BC508B38E8  Send DHCP REQUEST Client MAC F0BC508B38E8   Failed to boot NETNICP0IPV4    Start PXE over IPv4  Send DHCP DISCOVER Client MAC F0BC508B38E9  Recv DHCP OFFER Client MAC F0BC508B38E9timeout didnt get login message Alert serial devttyUSB0 not existskip test   All serial port test FAIL test result FAIL RESULT        FAIL</t>
  </si>
  <si>
    <t>2026-05-14 16:07:47</t>
  </si>
  <si>
    <t>t NETNICP0IPV4    Start PXE over IPv4  Send DHCP DISCOVER Client MAC F0BC508B38E9    PXEE21 Remote boot cancelled  Failed to boot NETNICP1IPV4  Failed to boot velinux1  Failed to boot debian0  Failed to boot NETNICP0IPV6  Failed to boot NETNICP1IPV6    Start PXE over IPv4  Send DHCP DISCOVER Client MAC F0BC508B38E8  Recv DHCP OFFER Client MAC F0BC508B38E8timeout didnt get login message Alert serial devttyUSB0 not existskip test   All serial port test FAIL test result FAIL RESULT        FAIL</t>
  </si>
  <si>
    <t>2026-05-14 08:42:43</t>
  </si>
  <si>
    <t>2026-05-14 10:49:40</t>
  </si>
  <si>
    <t>2026-05-15 20:24:55</t>
  </si>
  <si>
    <t>2026-05-15 22:19:35</t>
  </si>
  <si>
    <t>2  05152026  140244  Critical Interrupt PCIEStatus  Bus Correctable error BDF 000000  Deasserted    2  05152026  140244  Critical Interrupt PCIEStatus  Bus Correctable error BDF 000000  Deasserted    2  05152026  140244  Critical Interrupt PCIEStatus  Bus Correctable error BDF 000000  Deasserted</t>
  </si>
  <si>
    <t>2026-05-16 09:13:13</t>
  </si>
  <si>
    <t>6102228404315812</t>
  </si>
  <si>
    <t>2026-05-11 04:32:13</t>
  </si>
  <si>
    <t>2026-05-11 09:58:32</t>
  </si>
  <si>
    <t>check disk smart fail custom toutiao task fail</t>
  </si>
  <si>
    <t>字节_[客户定制][字节]混合压测1H与DC测试_硬盘容量异常</t>
  </si>
  <si>
    <t>2026-05-11 10:39:02</t>
  </si>
  <si>
    <t>2026-05-11 10:42:12</t>
  </si>
  <si>
    <t>6102265104304923</t>
  </si>
  <si>
    <t>2026-05-10 13:11:55</t>
  </si>
  <si>
    <t>SERIAL COMMON SOFTWARE ERROR Serial port test failed All 4 attempts returned failure from middleware</t>
  </si>
  <si>
    <t>6102117004312853</t>
  </si>
  <si>
    <t>2026-05-11 00:29:15</t>
  </si>
  <si>
    <t>2026-05-11 03:43:23</t>
  </si>
  <si>
    <t>2026-05-11 04:39:05</t>
  </si>
  <si>
    <t>2026-05-11 05:08:04</t>
  </si>
  <si>
    <t>2026-05-11 07:06:28</t>
  </si>
  <si>
    <t>2026-05-14 16:03:19</t>
  </si>
  <si>
    <t>6102228404323846</t>
  </si>
  <si>
    <t>2026-05-14 16:05:27</t>
  </si>
  <si>
    <t>2026-05-14 20:50:40</t>
  </si>
  <si>
    <t>4  05142026  124641  OEM record cd  00b3dd  bacc02030000 Current PCIe devices do not match PCIe topology check black keys fail check pcie fail custom toutiao task fail</t>
  </si>
  <si>
    <t>字节_[客户定制][字节]REBOOT 1LOOP_网卡降速</t>
  </si>
  <si>
    <t>2026-05-08 15:13:35</t>
  </si>
  <si>
    <t>6102264704305163</t>
  </si>
  <si>
    <t>2026-05-08 17:54:09</t>
  </si>
  <si>
    <t>6102264704305184</t>
  </si>
  <si>
    <t>2026-05-08 18:10:57</t>
  </si>
  <si>
    <t>2026-05-08 20:51:23</t>
  </si>
  <si>
    <t>6102265104304976</t>
  </si>
  <si>
    <t>2026-05-09 00:42:06</t>
  </si>
  <si>
    <t>2026-05-09 00:53:01</t>
  </si>
  <si>
    <t>2026-05-12 15:53:55</t>
  </si>
  <si>
    <t>COMMON BOARD ERROR FUNCTION Black list check fail fail type sel sdr</t>
  </si>
  <si>
    <t>6102192404317379</t>
  </si>
  <si>
    <t>2026-05-12 18:00:22</t>
  </si>
  <si>
    <t>6102228404315823</t>
  </si>
  <si>
    <t>2026-05-12 18:40:30</t>
  </si>
  <si>
    <t>2026-05-12 19:21:01</t>
  </si>
  <si>
    <t>2026-05-11 15:34:17</t>
  </si>
  <si>
    <t>6  05112026  060555  Power Supply B0PSU2Supply  Power Supply AC lost  Deasserted    7  05112026  060555  Power Supply B0PSU2Supply  AC outofrange but present  Deasserted    4  05112026  060340  Power Supply B0PSU2Supply  Power Supply AC lost  Asserted    6  05112026  060555  Power Supply B0PSU2Supply  Power Supply AC lost  Deasserted    5  05112026  060340  Power Supply B0PSU2Supply  AC outofrange but present  Asserted    7  05112026  060555  Power Supply B0PSU2Supply  AC outofrange but present</t>
  </si>
  <si>
    <t>6102228404323841</t>
  </si>
  <si>
    <t>2026-05-15 22:22:37</t>
  </si>
  <si>
    <t>Fri May 15 221442 2026  sysvecapictimerinterrupt0x6e0x90 Fri May 15 221442 2026  asmsysvecapictimerinterrupt0x160x20 Fri May 15 221442 2026 r8152 2210 eth1 Tx timeout Fri May 15 221442 2026   excinvalidop0x130x60 Fri May 15 221442 2026   asmexcinvalidop0x160x20 May 15 221442 bytedancehostv18v2 kernel   116018505   C40 r8152 2210 eth1 Tx timeout</t>
  </si>
  <si>
    <t>6102228404323837</t>
  </si>
  <si>
    <t>2026-05-15 07:53:26</t>
  </si>
  <si>
    <t>2026-05-15 08:09:13</t>
  </si>
  <si>
    <t>2026-05-15 15:05:13</t>
  </si>
  <si>
    <t>2026-05-15 15:32:10</t>
  </si>
  <si>
    <t>6102228404322554</t>
  </si>
  <si>
    <t>2026-05-16 02:52:33</t>
  </si>
  <si>
    <t>4  05152026  184217  Power Supply B0PSU3Supply  Power Supply AC lost  Deasserted    5  05152026  184217  Power Supply B0PSU3Supply  AC outofrange but present  Deasserted    2  05152026  183258  Power Supply B0PSU3Supply  Power Supply AC lost  Asserted    4  05152026  184217  Power Supply B0PSU3Supply  Power Supply AC lost  Deasserted    3  05152026  183258  Power Supply B0PSU3Supply  AC outofrange but present  Asserted    5  05152026  184217  Power Supply B0PSU3Supply  AC outofrange but present</t>
  </si>
  <si>
    <t>2026-05-16 10:07:09</t>
  </si>
  <si>
    <t>6102228404323833</t>
  </si>
  <si>
    <t>2026-05-16 11:46:18</t>
  </si>
  <si>
    <t>2026-05-14 04:20:05</t>
  </si>
  <si>
    <t>5  05132026  195257  Power Supply RedundantPSU  Fully Redundant  Deasserted    9  05132026  200250  Power Supply PSU0Supply  Power Supply AC lost  Deasserted    c  05132026  201251  Power Supply B0PSU0Supply  Power Supply AC lost  Deasserted    d  05132026  201251  Power Supply B0PSU0Supply  AC outofrange but present  Deasserted    4  05132026  195253  Power Supply PSU0Supply  Power Supply AC lost  Asserted    6  05132026  195257  Power Supply RedundantPSU  Redundancy Lost  Asserted</t>
  </si>
  <si>
    <t>2026-05-15 06:18:18</t>
  </si>
  <si>
    <t>FAIL</t>
  </si>
  <si>
    <t>2026-05-15 16:53:45</t>
  </si>
  <si>
    <t>6102268004328618</t>
  </si>
  <si>
    <t>2026-05-15 19:33:00</t>
  </si>
  <si>
    <t>[字节][擎天]BIOS 选项检查</t>
  </si>
  <si>
    <t>SYSTEM SEL ECC a 05 15 2026 11 30 11 Memory P1 C6 D1 Status Correctable ECC Asserted ECC b 05 15 2026 11 30 21 Memory P1 C6 D1 Status Correctable ECC Asserted</t>
  </si>
  <si>
    <t>字节_[字节][擎天]BIOS 选项检查_内存Correctable ECC</t>
  </si>
  <si>
    <t>2026-05-16 14:03:38</t>
  </si>
  <si>
    <t>6102087804327543</t>
  </si>
  <si>
    <t>M51Q1-I9DD2B-WW</t>
  </si>
  <si>
    <t>30229123</t>
  </si>
  <si>
    <t>2026-05-16 14:37:52</t>
  </si>
  <si>
    <t>Sat May 16 142241 2026 mce Hardware Error Machine check events logged Sat May 16 142241 2026 1Hardware Error Hardware error from APEI Generic Hardware Error Source 0 Sat May 16 142241 2026 1Hardware Error It has been corrected by hw and requires no further action Sat May 16 142241 2026 1Hardware Error event severity corrected Sat May 16 142241 2026 1Hardware Error  Error 0 type corrected Sat May 16 142241 2026 1Hardware Error   sectiontype memory error Sat May 16 142241 2026 1Hardware Error   er</t>
  </si>
  <si>
    <t>6102228404323854</t>
  </si>
  <si>
    <t>2026-05-16 06:17:53</t>
  </si>
  <si>
    <t>check failed items 80           00000000     00000000     00000000     00000005     00000000     00000000</t>
  </si>
  <si>
    <t>6102228404323831</t>
  </si>
  <si>
    <t>2026-05-16 14:42:23</t>
  </si>
  <si>
    <t>Sat May 16 143714 2026 ibumad Unknown symbol ibunregisterclient err 22 Sat May 16 143714 2026 ibumad Unknown symbol ibmodifyport err 22 Sat May 16 143714 2026 ibumad Unknown symbol rdmadevaccessnetns err 22 Sat May 16 143714 2026 ibumad Unknown symbol ibinitahattrfromwc err 22 Sat May 16 143714 2026 ibumad Unknown symbol ibregisterclient err 22 Sat May 16 143714 2026 ibumad Unknown symbol ibunregistermadagent err 22 Sat May 16 143714 2026 ibumad Unknown symbol ibpostsendmad err 22</t>
  </si>
  <si>
    <t>2026-05-14 20:44:41</t>
  </si>
  <si>
    <t>2026-05-15 02:49:44</t>
  </si>
  <si>
    <t>426 2026 1Hardware Error Hardware error from APEI Generic Hardware Error Source 0 Thu May 14 164426 2026 1Hardware Error It has been corrected by hw and requires no further action Thu May 14 164426 2026 1Hardware Error event severity corrected Thu May 14 164426 2026 1Hardware Error  Error 0 type corrected Thu May 14 164426 2026 1Hardware Error   sectiontype PCIe error Thu May 14 164426 2026 1Hardware Error   porttype 5 upstream switch port Thu May 14 164426 2026 1Hardware Error   v     FAIL</t>
  </si>
  <si>
    <t>2026-05-13 01:05:01</t>
  </si>
  <si>
    <t>6102228404317345</t>
  </si>
  <si>
    <t>2026-05-13 05:56:12</t>
  </si>
  <si>
    <t>9  05122026  203649  Power Supply B1PSU0Supply  Power Supply AC lost  Deasserted    a  05122026  203649  Power Supply B1PSU0Supply  AC outofrange but present  Deasserted    7  05122026  202821  Power Supply B1PSU0Supply  Power Supply AC lost  Asserted    9  05122026  203649  Power Supply B1PSU0Supply  Power Supply AC lost  Deasserted    8  05122026  202821  Power Supply B1PSU0Supply  AC outofrange but present  Asserted    a  05122026  203649  Power Supply B1PSU0Supply  AC outofrange but present</t>
  </si>
  <si>
    <t>2026-05-13 08:17:42</t>
  </si>
  <si>
    <t>21  05122026  141232  Power Supply PSU0Supply  Power Supply AC lost  Deasserted    f  05122026  134338  Power Supply PSU0Supply  Power Supply AC lost  Asserted   10  05122026  134338  Power Supply RedundantPSU  Redundancy Lost  Asserted   21  05122026  141232  Power Supply PSU0Supply  Power Supply AC lost  Deasserted import e7010 80860b25  LinkCap na na  LinkSta na na import e7020 80860cfe  LinkCap na na  LinkSta na na import f1000 808609a2  LinkCap na na  LinkSta na na</t>
  </si>
  <si>
    <t>2026-05-13 09:44:56</t>
  </si>
  <si>
    <t>20  05132026  013727  Power Supply B0PSU2Supply  Power Supply AC lost  Asserted   21  05132026  013727  Power Supply B0PSU2Supply  AC outofrange but present  Asserted check black keys fail   10  05132026  013703  Power Supply RedundantPSU  Fully Redundant  Deasserted   11  05132026  013703  Power Supply RedundantPSU  Redundancy Lost  Asserted PSU2PIn          65h  ok   107  0 Watts PSU2POut         69h  ok   1011  0 Watts PSU2IIn          6Dh  ok   1015  0 Amps</t>
  </si>
  <si>
    <t>2026-05-13 15:31:00</t>
  </si>
  <si>
    <t>6102228404304831</t>
  </si>
  <si>
    <t>2026-05-08 00:53:45</t>
  </si>
  <si>
    <t>停用字节_黑白名单检查_前测_硬盘内部报错</t>
  </si>
  <si>
    <t>2026-05-09 14:10:25</t>
  </si>
  <si>
    <t>2026 05 09 14 00 27 213 ERROR pdu control test py line 214 check psu sensor status failed expect off psu count 0 actual off psu 1 2026 05 09 14 02 22 164 ERROR pdu control test py line 214 check psu sensor status failed expect off psu count 0 actual off psu 1 2026 05 09 14 02 29 613 ERROR pdu control test py line 214 check psu sensor status failed expect off psu count 0 actual off psu 1 2026 05 09 14 02 36 983 ERROR pdu control test py line 214 check psu sensor status failed expect off psu count</t>
  </si>
  <si>
    <t>2026-05-09 15:01:26</t>
  </si>
  <si>
    <t>停用BF3串口检查失败</t>
  </si>
  <si>
    <t>2026-05-12 21:50:30</t>
  </si>
  <si>
    <t>2026-05-12 23:56:06</t>
  </si>
  <si>
    <t>2026-05-13 06:14:51</t>
  </si>
  <si>
    <t>2026-05-13 10:02:55</t>
  </si>
  <si>
    <t>6102228404317342</t>
  </si>
  <si>
    <t>2026-05-13 13:46:43</t>
  </si>
  <si>
    <t>2026-05-13 23:21:08</t>
  </si>
  <si>
    <t>2026-05-09 16:14:56</t>
  </si>
  <si>
    <t>6102265104304940</t>
  </si>
  <si>
    <t>2026-05-10 06:23:30</t>
  </si>
  <si>
    <t>SAT 测试4H</t>
  </si>
  <si>
    <t>2026-05-10 15:48:13</t>
  </si>
  <si>
    <t>Sun May 10 153815 2026 mlx5core 000019001 portmodule251pid 0 Port module eventerror module 1 Cable error No EEPROMretry timeout Sun May 10 153929 2026 mlx5core 000019001 portmodule257pid 0 Port module eventerror module 1 Cable error No EEPROMretry timeout Sun May 10 153815 2026 mlx5core 000019001 portmodule251pid 0 Port module eventerror module 1 Cable error No EEPROMretry timeout Sun May 10 153929 2026 mlx5core 000019001 portmodule257pid 0 Port module eventerror module 1 Cable error No EEPROMre</t>
  </si>
  <si>
    <t>2026-05-15 16:27:10</t>
  </si>
  <si>
    <t>2026-05-15 16:30:59</t>
  </si>
  <si>
    <t>2026-05-16 00:18:46</t>
  </si>
  <si>
    <t>2  05152026  130723  Power Unit PowerFault  State Asserted ErrorType OTHER  Asserted    2  05152026  130723  Power Unit PowerFault  State Asserted ErrorType OTHER  Asserted import 01000 15b3197b  LinkCap 320GTs x16  LinkSta 320GTs x16 import 02000 15b3197b  LinkCap 320GTs x16  LinkSta 320GTs x16 import 02030 15b3197b  LinkCap 320GTs x16  LinkSta 320GTs x16 import 03000 15b3a2dc  LinkCap 320GTs x16  LinkSta 320GTs x16 import 03001 15b3a2dc  LinkCap 320GTs x16  LinkSta 320GTs x16</t>
  </si>
  <si>
    <t>2026-05-16 09:49:37</t>
  </si>
  <si>
    <t>2026-05-16 09:50:55</t>
  </si>
  <si>
    <t>2026-05-10 12:28:05</t>
  </si>
  <si>
    <t>Sun May 10 122137 2026 ibumad Unknown symbol ibunregisterclient err 22 Sun May 10 122137 2026 ibumad Unknown symbol ibmodifyport err 22 Sun May 10 122137 2026 ibumad Unknown symbol rdmadevaccessnetns err 22 Sun May 10 122137 2026 ibumad Unknown symbol ibinitahattrfromwc err 22 Sun May 10 122137 2026 ibumad Unknown symbol ibregisterclient err 22 Sun May 10 122137 2026 ibumad Unknown symbol ibunregistermadagent err 22 Sun May 10 122137 2026 ibumad Unknown symbol ibpostsendmad err 22</t>
  </si>
  <si>
    <t>6102265104304952</t>
  </si>
  <si>
    <t>2026-05-10 12:59:46</t>
  </si>
  <si>
    <t>6102117004312885</t>
  </si>
  <si>
    <t>2026-05-10 15:57:53</t>
  </si>
  <si>
    <t>Sun May 10 155558 2026  smpapictimerinterrupt0x680x120 Sun May 10 155558 2026  apictimerinterrupt0xf0x20 Sun May 10 155558 2026 r8152 2210 eth2 Tx timeout May 10 155559 bytedancehostv13 kernel   202813687    C8  smpapictimerinterrupt0x680x120 May 10 155559 bytedancehostv13 kernel   202813688    C8  apictimerinterrupt0xf0x20 May 10 155559 bytedancehostv13 kernel   202828468    C8 r8152 2210 eth2 Tx timeout check black keys fail custom toutiao task fail</t>
  </si>
  <si>
    <t>2026-05-10 19:00:32</t>
  </si>
  <si>
    <t>2026-05-10 22:55:24</t>
  </si>
  <si>
    <t>2026-05-11 03:34:58</t>
  </si>
  <si>
    <t>2026-05-11 06:52:05</t>
  </si>
  <si>
    <t>Mon May 11 063616 2026 mce Hardware Error Machine check events logged Mon May 11 063616 2026 mce Hardware Error Machine check events logged Mon May 11 063616 2026 1Hardware Error Hardware error from APEI Generic Hardware Error Source 0 Mon May 11 063616 2026 1Hardware Error It has been corrected by hw and requires no further action Mon May 11 063616 2026 1Hardware Error event severity corrected Mon May 11 063616 2026 1Hardware Error  Error 0 type corrected Mon May 11 063616 2026 1Hardware Error</t>
  </si>
  <si>
    <t>2026-05-11 07:25:16</t>
  </si>
  <si>
    <t>6102228404313005</t>
  </si>
  <si>
    <t>2026-05-11 11:09:00</t>
  </si>
  <si>
    <t>Mon May 11 110250 2026 ibumad Unknown symbol ibunregisterclient err 22 Mon May 11 110250 2026 ibumad Unknown symbol ibmodifyport err 22 Mon May 11 110250 2026 ibumad Unknown symbol rdmadevaccessnetns err 22 Mon May 11 110250 2026 ibumad Unknown symbol ibinitahattrfromwc err 22 Mon May 11 110250 2026 ibumad Unknown symbol ibregisterclient err 22 Mon May 11 110250 2026 ibumad Unknown symbol ibunregistermadagent err 22 Mon May 11 110250 2026 ibumad Unknown symbol ibpostsendmad err 22</t>
  </si>
  <si>
    <t>2026-05-11 16:18:47</t>
  </si>
  <si>
    <t>2026-05-14 16:58:28</t>
  </si>
  <si>
    <t>2026-05-14 18:29:48</t>
  </si>
  <si>
    <t>2026-05-14 21:51:00</t>
  </si>
  <si>
    <t>2026-05-15 05:05:01</t>
  </si>
  <si>
    <t>ODevnode 2  reasoning test PASS 20260515 050501INFODevnode 3  reasoning test PASS 20260515 050501INFODevnode 4  reasoning test PASS 20260515 050501INFODevnode 5  reasoning test PASS 20260515 050501INFODevnode 6  reasoning test PASS  FAIL BDAASLTsysenableperftest1164slt performance test model BDAASLTadagetaiufreq447info aiu clk freq  750 MHz BDAASLTadagetaiuboostmode464info aiu boost mode is on BDAASLTadascaninstalledbdmodels501total 9 models found at usrlocalsharebdtoolchainmodels      FAIL</t>
  </si>
  <si>
    <t>2026-05-10 15:12:14</t>
  </si>
  <si>
    <t>Sun May 10 150144 2026 mlx5core 000019001 portmodule251pid 0 Port module eventerror module 1 Cable error No EEPROMretry timeout Sun May 10 150259 2026 mlx5core 000019001 portmodule257pid 0 Port module eventerror module 1 Cable error No EEPROMretry timeout Sun May 10 150144 2026 mlx5core 000019001 portmodule251pid 0 Port module eventerror module 1 Cable error No EEPROMretry timeout Sun May 10 150259 2026 mlx5core 000019001 portmodule257pid 0 Port module eventerror module 1 Cable error No EEPROMre</t>
  </si>
  <si>
    <t>2026-05-10 21:34:02</t>
  </si>
  <si>
    <t>2026-05-10 22:45:13</t>
  </si>
  <si>
    <t>6102117004312841</t>
  </si>
  <si>
    <t>2026-05-11 00:29:00</t>
  </si>
  <si>
    <t>2026-05-11 06:46:08</t>
  </si>
  <si>
    <t>2026-05-11 07:30:05</t>
  </si>
  <si>
    <t>6102265104304998</t>
  </si>
  <si>
    <t>2026-05-11 21:04:39</t>
  </si>
  <si>
    <t>2026-05-11 22:10:25</t>
  </si>
  <si>
    <t>2026-05-12 06:49:21</t>
  </si>
  <si>
    <t>Tue May 12 064314 2026 ibumad Unknown symbol ibunregisterclient err 22 Tue May 12 064314 2026 ibumad Unknown symbol ibmodifyport err 22 Tue May 12 064314 2026 ibumad Unknown symbol rdmadevaccessnetns err 22 Tue May 12 064314 2026 ibumad Unknown symbol ibinitahattrfromwc err 22 Tue May 12 064314 2026 ibumad Unknown symbol ibregisterclient err 22 Tue May 12 064314 2026 ibumad Unknown symbol ibunregistermadagent err 22 Tue May 12 064314 2026 ibumad Unknown symbol ibpostsendmad err 22</t>
  </si>
  <si>
    <t>2026-05-08 03:34:36</t>
  </si>
  <si>
    <t>6102264704305234</t>
  </si>
  <si>
    <t>2026-05-08 08:40:07</t>
  </si>
  <si>
    <t>6102264704305232</t>
  </si>
  <si>
    <t>2026-05-08 08:40:28</t>
  </si>
  <si>
    <t>2026-05-08 09:02:24</t>
  </si>
  <si>
    <t>COMMON BOARD ERROR FUNCTION Black list check fail fail type message</t>
  </si>
  <si>
    <t>2026-05-08 09:15:33</t>
  </si>
  <si>
    <t>6102265104304933</t>
  </si>
  <si>
    <t>2026-05-08 10:46:35</t>
  </si>
  <si>
    <t>NIC UNKNOW SOFTWARE ERROR NIC exist info check fail</t>
  </si>
  <si>
    <t>2026-05-08 10:49:43</t>
  </si>
  <si>
    <t>2026-05-08 11:14:00</t>
  </si>
  <si>
    <t>2026-05-08 13:23:20</t>
  </si>
  <si>
    <t>6102228404304275</t>
  </si>
  <si>
    <t>2026-05-08 13:39:14</t>
  </si>
  <si>
    <t>Fri May  8 133312 2026 ibumad Unknown symbol ibunregisterclient err 22 Fri May  8 133312 2026 ibumad Unknown symbol ibmodifyport err 22 Fri May  8 133312 2026 ibumad Unknown symbol rdmadevaccessnetns err 22 Fri May  8 133312 2026 ibumad Unknown symbol ibinitahattrfromwc err 22 Fri May  8 133312 2026 ibumad Unknown symbol ibregisterclient err 22 Fri May  8 133312 2026 ibumad Unknown symbol ibunregistermadagent err 22 Fri May  8 133312 2026 ibumad Unknown symbol ibpostsendmad err 22</t>
  </si>
  <si>
    <t>Program KILLED BY TIMEOUT Killed by timeout max second 600</t>
    <phoneticPr fontId="1" type="noConversion"/>
  </si>
  <si>
    <t>9  05102026  040649  Processor CPU1Status  Correctable machine check error  Asserted    9  05102026  040649  Processor CPU1Status  Correctable machine check error  Asserted   45  05102026  143849  Power Supply RedundantPSU  Redundancy Lost  Deasserted   41  05102026  143815  Power Supply RedundantPSU  Redundancy Lost  Asserted   45  05102026  143849  Power Supply RedundantPSU  Redundancy Lost  Deasserted   46  05102026  143849  Power Supply RedundantPSU  Redundancy Lost  Deasserted</t>
    <phoneticPr fontId="1" type="noConversion"/>
  </si>
  <si>
    <t>销售订单</t>
  </si>
  <si>
    <t>生产订单</t>
  </si>
  <si>
    <t>L6标识</t>
  </si>
  <si>
    <t>机型</t>
  </si>
  <si>
    <t>主机条码</t>
  </si>
  <si>
    <t>客户序列号</t>
  </si>
  <si>
    <t>资产号</t>
  </si>
  <si>
    <t>NG工站</t>
  </si>
  <si>
    <t>NG报工人员</t>
  </si>
  <si>
    <t>NG报工时间</t>
  </si>
  <si>
    <t>不良现象维度2</t>
  </si>
  <si>
    <t>不良现象维度3</t>
  </si>
  <si>
    <t>维修人员</t>
  </si>
  <si>
    <t>复检人员</t>
  </si>
  <si>
    <t>维修时间</t>
  </si>
  <si>
    <t>维修维度3</t>
  </si>
  <si>
    <t>二次物料标识</t>
  </si>
  <si>
    <t>涉及部件</t>
  </si>
  <si>
    <t>缺陷责任分类</t>
  </si>
  <si>
    <t>重插物料编码</t>
  </si>
  <si>
    <t>重插物料序号</t>
  </si>
  <si>
    <t>描述</t>
  </si>
  <si>
    <t>物料编码</t>
  </si>
  <si>
    <t>物料描述</t>
  </si>
  <si>
    <t>OEM料号</t>
  </si>
  <si>
    <t>OEM描述</t>
  </si>
  <si>
    <t>物料类型</t>
  </si>
  <si>
    <t>替换前内部/OEM码</t>
  </si>
  <si>
    <t>替换前原厂码</t>
  </si>
  <si>
    <t>替换后内部/OEM码</t>
  </si>
  <si>
    <t>替换后原厂码</t>
  </si>
  <si>
    <t>非关键件物料序号</t>
  </si>
  <si>
    <t>槽位</t>
  </si>
  <si>
    <t>复判人员</t>
  </si>
  <si>
    <t>复判结论</t>
  </si>
  <si>
    <t>复判问题描述</t>
  </si>
  <si>
    <t>复判输入备注</t>
  </si>
  <si>
    <t>项目专用</t>
  </si>
  <si>
    <t>RMA复判人员</t>
  </si>
  <si>
    <t>RMA复判结论</t>
  </si>
  <si>
    <t>RMA复判二级</t>
  </si>
  <si>
    <t>RMA复判三级</t>
  </si>
  <si>
    <t>RMA复判四级</t>
  </si>
  <si>
    <t>拦截部件压测项</t>
  </si>
  <si>
    <t>有效性</t>
  </si>
  <si>
    <t>100001781--60</t>
  </si>
  <si>
    <t>30227588</t>
  </si>
  <si>
    <t>6410 X21</t>
  </si>
  <si>
    <t>6102228104304782</t>
  </si>
  <si>
    <t>TXM-OP205初检前测</t>
  </si>
  <si>
    <t>吴伊彬</t>
  </si>
  <si>
    <t>2026-05-08 16:20:08</t>
  </si>
  <si>
    <t>停用字节_[千岛湖]G51_BOX retimer FW 刷新V3_FRU信息不全</t>
  </si>
  <si>
    <t>何向丰 桐乡</t>
  </si>
  <si>
    <t>2026-05-08 16:45:46</t>
  </si>
  <si>
    <t>更换CDFP线</t>
  </si>
  <si>
    <t>CDFP线</t>
  </si>
  <si>
    <t>交叉跟着线走更换CDFP线0,20251129</t>
  </si>
  <si>
    <t>37002280</t>
  </si>
  <si>
    <t>100001828--90</t>
  </si>
  <si>
    <t>30228123</t>
  </si>
  <si>
    <t>6102228104304179</t>
  </si>
  <si>
    <t>TXM-OP210老化测试</t>
  </si>
  <si>
    <t>2026-05-08 08:31:33</t>
  </si>
  <si>
    <t>停用字节_[TMS/JHS]压力测试</t>
  </si>
  <si>
    <t>停用字节_[TMS/JHS]压力测试_压力测试失败</t>
  </si>
  <si>
    <t>2026-05-08 10:44:43</t>
  </si>
  <si>
    <t>重插GPU卡</t>
  </si>
  <si>
    <t>GPU</t>
  </si>
  <si>
    <t>B2400017</t>
  </si>
  <si>
    <t>交叉 SLOT1/5</t>
  </si>
  <si>
    <t>SLOT1</t>
  </si>
  <si>
    <t>6102228104304236</t>
  </si>
  <si>
    <t>2026-05-09 14:42:42</t>
  </si>
  <si>
    <t>停用字节_[千岛湖]AC测试V2</t>
  </si>
  <si>
    <t>停用字节_[千岛湖]AC测试V2_无温度值</t>
  </si>
  <si>
    <t>2026-05-09 15:43:49</t>
  </si>
  <si>
    <t>更换GPU卡</t>
  </si>
  <si>
    <t>交叉GPU验证跟着走，更换slot5</t>
  </si>
  <si>
    <t>九华山 火山引擎JHS33211-9 E4x16视频加速卡-B02</t>
  </si>
  <si>
    <t>04</t>
  </si>
  <si>
    <t>B240001760038145</t>
  </si>
  <si>
    <t>8SSTA7C06719L7HF63D036D</t>
  </si>
  <si>
    <t>B240001760045303</t>
  </si>
  <si>
    <t>8SSTA7C06719L7HF63D00MG</t>
  </si>
  <si>
    <t>slot5</t>
  </si>
  <si>
    <t>安冰滑</t>
  </si>
  <si>
    <t>NG</t>
  </si>
  <si>
    <t>系统下无法获取该 GPU 的温度数据。</t>
  </si>
  <si>
    <t>095TOUTI01</t>
  </si>
  <si>
    <t>100001828--120</t>
  </si>
  <si>
    <t>30228125</t>
  </si>
  <si>
    <t>6102228104309936</t>
  </si>
  <si>
    <t>2026-05-09 09:21:51</t>
  </si>
  <si>
    <t>停用字节_[千岛湖]BOX FRU信息检查V3</t>
  </si>
  <si>
    <t>停用字节_[千岛湖]BOX FRU信息检查V3_PCIE识别不全</t>
  </si>
  <si>
    <t>2026-05-09 10:39:29</t>
  </si>
  <si>
    <t>更换slot4</t>
  </si>
  <si>
    <t>B240001760045585</t>
  </si>
  <si>
    <t>8SSTA7C06719L7HF63D010X</t>
  </si>
  <si>
    <t>B240001760045296</t>
  </si>
  <si>
    <t>8SSTA7C06719L7HF63D0176</t>
  </si>
  <si>
    <t>slot4</t>
  </si>
  <si>
    <t>PCIE识别不全，外观无异常</t>
  </si>
  <si>
    <t>30228121</t>
  </si>
  <si>
    <t>6102228104301008</t>
  </si>
  <si>
    <t>2026-05-08 15:49:14</t>
  </si>
  <si>
    <t>停用字节_黑白名单检查_压测</t>
  </si>
  <si>
    <t>停用字节_黑白名单检查_压测_XID报错</t>
  </si>
  <si>
    <t>2026-05-08 16:44:35</t>
  </si>
  <si>
    <t>更换slot10</t>
  </si>
  <si>
    <t>B240001760037758</t>
  </si>
  <si>
    <t>8SSTA7C06719L7HF63703VG</t>
  </si>
  <si>
    <t>B240001760045291</t>
  </si>
  <si>
    <t>8SSTA7C06719L7HF63D059B</t>
  </si>
  <si>
    <t>slot10</t>
  </si>
  <si>
    <t>XID报错，外观无异常</t>
  </si>
  <si>
    <t>30228131</t>
  </si>
  <si>
    <t>6102228104316621</t>
  </si>
  <si>
    <t>2026-05-12 14:46:24</t>
  </si>
  <si>
    <t>字节_[字节]健康检查</t>
  </si>
  <si>
    <t>字节_[字节]健康检查_GPU降带宽</t>
  </si>
  <si>
    <t>2026-05-12 15:28:32</t>
  </si>
  <si>
    <t>交叉slot10/7</t>
  </si>
  <si>
    <t>30228133</t>
  </si>
  <si>
    <t>6102228104317302</t>
  </si>
  <si>
    <t>2026-05-16 10:46:35</t>
  </si>
  <si>
    <t>字节_[客户定制][字节] DC测试 8LOOP</t>
  </si>
  <si>
    <t>字节_[客户定制][字节] DC测试 8LOOP_GPU链路报错</t>
  </si>
  <si>
    <t>2026-05-16 11:25:41</t>
  </si>
  <si>
    <t>交叉SLOT1/10</t>
  </si>
  <si>
    <t>30227558</t>
  </si>
  <si>
    <t>6102228104322476</t>
  </si>
  <si>
    <t>2026-05-15 10:18:29</t>
  </si>
  <si>
    <t>字节_[客户定制][字节][TMS/JHS]压力测试</t>
  </si>
  <si>
    <t>字节_[客户定制][字节][TMS/JHS]压力测试_GPU性能不达标</t>
  </si>
  <si>
    <t>2026-05-15 10:57:47</t>
  </si>
  <si>
    <t>交叉slot1/5</t>
  </si>
  <si>
    <t>slot1</t>
  </si>
  <si>
    <t>6102228104316630</t>
  </si>
  <si>
    <t>2026-05-12 09:55:16</t>
  </si>
  <si>
    <t>字节_[字节][千岛湖]BOX FRU信息检查V3</t>
  </si>
  <si>
    <t>2026-05-12 10:51:29</t>
  </si>
  <si>
    <t>30227560</t>
  </si>
  <si>
    <t>6102228104323771</t>
  </si>
  <si>
    <t>2026-05-15 15:57:45</t>
  </si>
  <si>
    <t>字节_[客户定制][字节]黑白名单检查_前测</t>
  </si>
  <si>
    <t>何向丰</t>
  </si>
  <si>
    <t>吴伊彬 桐乡</t>
  </si>
  <si>
    <t>2026-05-15 16:00:51</t>
  </si>
  <si>
    <t>交叉SLOT6/4,SLOT7/1</t>
  </si>
  <si>
    <t>SLOT6/7</t>
  </si>
  <si>
    <t>6102228104316566</t>
  </si>
  <si>
    <t>2026-05-12 10:24:15</t>
  </si>
  <si>
    <t>2026-05-12 14:53:39</t>
  </si>
  <si>
    <t>更换数据线</t>
  </si>
  <si>
    <t>数据线</t>
  </si>
  <si>
    <t>交叉跟着CDFP线走，更换CDFP线7,20251119</t>
  </si>
  <si>
    <t>100001828--60</t>
  </si>
  <si>
    <t>30228106</t>
  </si>
  <si>
    <t>6102228104323789</t>
  </si>
  <si>
    <t>2026-05-16 10:48:41</t>
  </si>
  <si>
    <t>2026-05-16 11:46:19</t>
  </si>
  <si>
    <t>交叉slot11/7，slot10/5，slot9/3</t>
  </si>
  <si>
    <t>slot11,slot10,slot9</t>
  </si>
  <si>
    <t>6102228104322512</t>
  </si>
  <si>
    <t>2026-05-14 10:58:23</t>
  </si>
  <si>
    <t>字节_[字节][千岛湖]BF3网卡打开主机访问</t>
  </si>
  <si>
    <t>字节_[字节][千岛湖]BF3网卡打开主机访问_CDFP链路丢卡</t>
  </si>
  <si>
    <t>2026-05-14 11:15:57</t>
  </si>
  <si>
    <t>交叉跟着CDFP线走，更换CDFP线0，20250712</t>
  </si>
  <si>
    <t>37003507</t>
  </si>
  <si>
    <t>6102228104322506</t>
  </si>
  <si>
    <t>2026-05-14 11:01:08</t>
  </si>
  <si>
    <t>2026-05-14 11:16:32</t>
  </si>
  <si>
    <t>100001781--50</t>
  </si>
  <si>
    <t>6210 C21 BOX</t>
  </si>
  <si>
    <t>2026-ck-srv-063624</t>
  </si>
  <si>
    <t>2026-05-14 14:01:20</t>
  </si>
  <si>
    <t>更换背板</t>
  </si>
  <si>
    <t>背板</t>
  </si>
  <si>
    <t>重插交叉硬盘及数据线无效，交叉跟着背板走，更换硬盘背板</t>
  </si>
  <si>
    <t>24004174</t>
  </si>
  <si>
    <t>BD32G04-8639-U2 C01 硬盘背板(B02-YC)-GT</t>
  </si>
  <si>
    <t>02</t>
  </si>
  <si>
    <t>2400417430086548</t>
  </si>
  <si>
    <t>2400417460025637</t>
  </si>
  <si>
    <t>OK</t>
  </si>
  <si>
    <t>同配置下验证故障未复现</t>
  </si>
  <si>
    <t>100001828--110</t>
  </si>
  <si>
    <t>2026-ck-srv-062865</t>
  </si>
  <si>
    <t>2026-05-09 13:14:20</t>
  </si>
  <si>
    <t>停用字节_黑白名单检查_前测</t>
  </si>
  <si>
    <t>2026-05-09 13:18:55</t>
  </si>
  <si>
    <t>重插MCIO线</t>
  </si>
  <si>
    <t>MCIO线缆</t>
  </si>
  <si>
    <t>37002287</t>
  </si>
  <si>
    <t>重插MCIO线缆J80/J87，交叉J1/J2</t>
  </si>
  <si>
    <t>J87/J80</t>
  </si>
  <si>
    <t>2026-ck-srv-062873</t>
  </si>
  <si>
    <t>2026-05-09 13:13:34</t>
  </si>
  <si>
    <t>2026-05-09 13:47:07</t>
  </si>
  <si>
    <t>更换内存</t>
  </si>
  <si>
    <t>内存</t>
  </si>
  <si>
    <t>更换P0-C0-D0</t>
  </si>
  <si>
    <t>B5000026</t>
  </si>
  <si>
    <t>CX CXMR4E464R8AS DDR5 56R 64G内存-B02</t>
  </si>
  <si>
    <t>B500002660419605</t>
  </si>
  <si>
    <t>8A91502550B021F9F6</t>
  </si>
  <si>
    <t>B500002660424457</t>
  </si>
  <si>
    <t>8A91502550B0220CEB</t>
  </si>
  <si>
    <t>P0-C0-D0</t>
  </si>
  <si>
    <t>内存ECC报错，外观无异常</t>
  </si>
  <si>
    <t>100001828--80</t>
  </si>
  <si>
    <t>2026-ck-srv-062245</t>
  </si>
  <si>
    <t>2026-05-08 10:42:33</t>
  </si>
  <si>
    <t>2026-05-08 13:18:44</t>
  </si>
  <si>
    <t>更换主板</t>
  </si>
  <si>
    <t>主板</t>
  </si>
  <si>
    <t>交叉内存及CPU无效，PE指导更换主板</t>
  </si>
  <si>
    <t>24004825</t>
  </si>
  <si>
    <t>YICHUN_60EA32-BD C01 主板(B02 IFX_PFR-HD）</t>
  </si>
  <si>
    <t>2400482560000129</t>
  </si>
  <si>
    <t>S123335260700079</t>
  </si>
  <si>
    <t>2400482560000645</t>
  </si>
  <si>
    <t>S123335261000095</t>
  </si>
  <si>
    <t>Test Failure</t>
  </si>
  <si>
    <t>6102228404312999</t>
  </si>
  <si>
    <t>2026-ck-srv-063044</t>
  </si>
  <si>
    <t>2026-05-11 18:23:41</t>
  </si>
  <si>
    <t>字节_[客户定制][字节] DC测试 8LOOP_CPU CE报错</t>
  </si>
  <si>
    <t>2026-05-11 18:47:25</t>
  </si>
  <si>
    <t>重插CPU</t>
  </si>
  <si>
    <t>CPU</t>
  </si>
  <si>
    <t>B6200004</t>
  </si>
  <si>
    <t>CPU0 CE报错,重插CPU0</t>
  </si>
  <si>
    <t>CPU0</t>
  </si>
  <si>
    <t>2026-05-12 09:46:26</t>
  </si>
  <si>
    <t>2026-05-12 10:52:50</t>
  </si>
  <si>
    <t>CPU0 CE报错,交叉CPU验证</t>
  </si>
  <si>
    <t>100001828--50</t>
  </si>
  <si>
    <t>6102228404323859</t>
  </si>
  <si>
    <t>2026-ck-srv-063726</t>
  </si>
  <si>
    <t>TXM-OP200老化初检</t>
  </si>
  <si>
    <t>2026-05-15 16:00:17</t>
  </si>
  <si>
    <t>2026-05-15 16:19:07</t>
  </si>
  <si>
    <t>交叉CPU验证</t>
  </si>
  <si>
    <t>2026-05-15 14:04:04</t>
  </si>
  <si>
    <t>2026-05-15 14:20:08</t>
  </si>
  <si>
    <t>交叉数据线J24/J25复现无效，更换数据线20260317</t>
  </si>
  <si>
    <t>37002322</t>
  </si>
  <si>
    <t>2026-05-15 10:19:20</t>
  </si>
  <si>
    <t>2026-05-15 10:58:52</t>
  </si>
  <si>
    <t>重插数据线</t>
  </si>
  <si>
    <t>交叉数据线J24/J25</t>
  </si>
  <si>
    <t>2026-ck-srv-062122</t>
  </si>
  <si>
    <t>TXM-OP220老化综检</t>
  </si>
  <si>
    <t>2026-05-15 11:28:17</t>
  </si>
  <si>
    <t>字节_[客户定制][字节]EGS混合压测 6H</t>
  </si>
  <si>
    <t>字节_[客户定制][字节]EGS混合压测 6H_CPU CE报错</t>
  </si>
  <si>
    <t>2026-05-15 11:29:22</t>
  </si>
  <si>
    <t>更换CPU</t>
  </si>
  <si>
    <t>交叉CPU验证跟着走，更换CPU1</t>
  </si>
  <si>
    <t>Intel 8457C 2.6G 97.5M 48C 350W LJS(B02)</t>
  </si>
  <si>
    <t>B620000472635431</t>
  </si>
  <si>
    <t>M57018V700420</t>
  </si>
  <si>
    <t>B620000472651092</t>
  </si>
  <si>
    <t>M5964EL500156</t>
  </si>
  <si>
    <t>CPU1</t>
  </si>
  <si>
    <t>CPU CE报错，外观无异常</t>
  </si>
  <si>
    <t>2026-ck-srv-063182</t>
  </si>
  <si>
    <t>2026-05-11 18:17:20</t>
  </si>
  <si>
    <t>字节_[客户定制][字节]BF3串口通信检查</t>
  </si>
  <si>
    <t>2026-05-11 18:46:16</t>
  </si>
  <si>
    <t>重插智能网卡</t>
  </si>
  <si>
    <t>BF3智能网卡</t>
  </si>
  <si>
    <t>重插BF3网卡，整理链路</t>
  </si>
  <si>
    <t>PCIE0</t>
  </si>
  <si>
    <t>2026-ck-srv-063179</t>
  </si>
  <si>
    <t>2026-05-11 18:17:58</t>
  </si>
  <si>
    <t>2026-05-11 18:46:44</t>
  </si>
  <si>
    <t>2026-ck-srv-063167</t>
  </si>
  <si>
    <t>2026-05-11 09:08:09</t>
  </si>
  <si>
    <t>2026-05-11 09:25:29</t>
  </si>
  <si>
    <t>重插网卡</t>
  </si>
  <si>
    <t>B2400016</t>
  </si>
  <si>
    <t>重插BF3网卡</t>
  </si>
  <si>
    <t>DPU</t>
  </si>
  <si>
    <t>2026-ck-srv-063211</t>
  </si>
  <si>
    <t>2026-05-13 11:37:49</t>
  </si>
  <si>
    <t>2026-05-13 13:36:32</t>
  </si>
  <si>
    <t>更换MCIO线缆J24/J25验证</t>
  </si>
  <si>
    <t>J24/J25</t>
  </si>
  <si>
    <t>2026-ck-srv-063397</t>
  </si>
  <si>
    <t>2026-05-13 11:38:34</t>
  </si>
  <si>
    <t>2026-05-13 13:38:26</t>
  </si>
  <si>
    <t>更换retimer卡</t>
  </si>
  <si>
    <t>Retimer卡</t>
  </si>
  <si>
    <t>交叉retimer卡验证跟着走，更换retimer卡2</t>
  </si>
  <si>
    <t>24003586</t>
  </si>
  <si>
    <t>R1E6-M-U4 A01 Retimer卡(Montage)(B02-QDH)</t>
  </si>
  <si>
    <t>2400358660308689</t>
  </si>
  <si>
    <t>C0112602HT307260812642</t>
  </si>
  <si>
    <t>2400358660299733</t>
  </si>
  <si>
    <t>C0112602HT307260353072</t>
  </si>
  <si>
    <t>retimer2</t>
  </si>
  <si>
    <t>PCIE链路报错，外观无异常</t>
  </si>
  <si>
    <t>2026-05-12 14:45:47</t>
  </si>
  <si>
    <t>2026-05-12 15:27:54</t>
  </si>
  <si>
    <t>重插MCIO J24 J25</t>
  </si>
  <si>
    <t>6102228404322538</t>
  </si>
  <si>
    <t>2026-ck-srv-063623</t>
  </si>
  <si>
    <t>2026-05-14 13:23:18</t>
  </si>
  <si>
    <t>2026-05-14 14:00:17</t>
  </si>
  <si>
    <t>2026-ck-srv-062220</t>
  </si>
  <si>
    <t>TXM-OP215综检后测</t>
  </si>
  <si>
    <t>2026-05-14 16:21:38</t>
  </si>
  <si>
    <t>字节_[客户定制][字节]MEMTESTER与FIO测试</t>
  </si>
  <si>
    <t>字节_[客户定制][字节]MEMTESTER与FIO测试_CPU CE报错</t>
  </si>
  <si>
    <t>2026-05-14 16:22:23</t>
  </si>
  <si>
    <t>交叉CPU验证跟着走，更换当前CPU1</t>
  </si>
  <si>
    <t>B620000472637215</t>
  </si>
  <si>
    <t>M574631700208</t>
  </si>
  <si>
    <t>B620000472650746</t>
  </si>
  <si>
    <t>M5964EL500383</t>
  </si>
  <si>
    <t>100001826--20</t>
  </si>
  <si>
    <t>6210 C21</t>
  </si>
  <si>
    <t>2026-ck-srv-062767</t>
  </si>
  <si>
    <t>2026-05-08 15:50:03</t>
  </si>
  <si>
    <t>停用字节_黑白名单检查</t>
  </si>
  <si>
    <t>2026-05-08 16:43:48</t>
  </si>
  <si>
    <t>更换系统风扇</t>
  </si>
  <si>
    <t>风扇</t>
  </si>
  <si>
    <t>交叉风扇验证跟着走，更换风扇5</t>
  </si>
  <si>
    <t>3003384</t>
  </si>
  <si>
    <t>丰衡E20机箱SUNON6056风扇模组（B02定制）R1</t>
  </si>
  <si>
    <t>0300338430779253</t>
  </si>
  <si>
    <t>0300338430787426</t>
  </si>
  <si>
    <t>风扇5</t>
  </si>
  <si>
    <t>转速告警</t>
  </si>
  <si>
    <t>100001826--30</t>
  </si>
  <si>
    <t>2026-ck-srv-062954</t>
  </si>
  <si>
    <t>2026-05-09 09:26:01</t>
  </si>
  <si>
    <t>2026-05-09 10:40:00</t>
  </si>
  <si>
    <t>更换P1_C0_D0</t>
  </si>
  <si>
    <t>B5000010</t>
  </si>
  <si>
    <t>MI MTC20F2085S1RC56BD2 D5 56R 32G内存-B02</t>
  </si>
  <si>
    <t>B500001060021007</t>
  </si>
  <si>
    <t>802C0F253552810F3F</t>
  </si>
  <si>
    <t>B500001060020952</t>
  </si>
  <si>
    <t>802C0F2535527407CC</t>
  </si>
  <si>
    <t>P1_C0_D0</t>
  </si>
  <si>
    <t>2026-ck-srv-062927</t>
  </si>
  <si>
    <t>2026-05-09 13:22:41</t>
  </si>
  <si>
    <t>停用字节_EGS DC测试-5LOOP</t>
  </si>
  <si>
    <t>停用字节_EGS DC测试-5LOOP_硬盘链路报错</t>
  </si>
  <si>
    <t>2026-05-09 13:46:32</t>
  </si>
  <si>
    <t>更换硬盘</t>
  </si>
  <si>
    <t>硬盘</t>
  </si>
  <si>
    <t>交叉跟着硬盘走，更换nvme16</t>
  </si>
  <si>
    <t>B5400017</t>
  </si>
  <si>
    <t>SDM SSDPF2KX076T1 7.68T 2.5-E4x4 RSSDB02</t>
  </si>
  <si>
    <t>03</t>
  </si>
  <si>
    <t>B540001760178375</t>
  </si>
  <si>
    <t>BTAX612209EB7P6DGN</t>
  </si>
  <si>
    <t>B540001760178189</t>
  </si>
  <si>
    <t>BTAX61220BKZ7P6DGN</t>
  </si>
  <si>
    <t>nvme16</t>
  </si>
  <si>
    <t>厂商复测Fail</t>
  </si>
  <si>
    <t>2026-ck-srv-063126</t>
  </si>
  <si>
    <t>2026-05-11 11:16:27</t>
  </si>
  <si>
    <t>字节_[客户定制][字节]混合压测1H与DC测试</t>
  </si>
  <si>
    <t>2026-05-11 14:11:46</t>
  </si>
  <si>
    <t>更换NVME14</t>
  </si>
  <si>
    <t>B540001760180302</t>
  </si>
  <si>
    <t>BTAX61220BXV7P6DGN</t>
  </si>
  <si>
    <t>B540001760178194</t>
  </si>
  <si>
    <t>BTAX61220BMY7P6DGN</t>
  </si>
  <si>
    <t>NVME14</t>
  </si>
  <si>
    <t>100001832--20</t>
  </si>
  <si>
    <t>6310 C21L</t>
  </si>
  <si>
    <t>2026-ck-srv-062628</t>
  </si>
  <si>
    <t>2026-05-09 13:09:49</t>
  </si>
  <si>
    <t>停用字节_检查项FRU</t>
  </si>
  <si>
    <t>2026-05-09 14:06:47</t>
  </si>
  <si>
    <t>更换硬盘数据线</t>
  </si>
  <si>
    <t>交叉数据线验证跟着走，更换上层数据线,20260106</t>
  </si>
  <si>
    <t>37001772</t>
  </si>
  <si>
    <t>2026-05-08 14:17:23</t>
  </si>
  <si>
    <t>2026-05-08 14:49:43</t>
  </si>
  <si>
    <t>重装背板</t>
  </si>
  <si>
    <t>24002986</t>
  </si>
  <si>
    <t>交叉上层背板3/2，重插信号线</t>
  </si>
  <si>
    <t>2026-ck-srv-062611</t>
  </si>
  <si>
    <t>2026-05-09 09:19:44</t>
  </si>
  <si>
    <t>停用字节_BytedQC 前测 PreTest</t>
  </si>
  <si>
    <t>2026-05-09 10:38:13</t>
  </si>
  <si>
    <t>交叉跟着硬盘走，更换HDD11</t>
  </si>
  <si>
    <t>54001223</t>
  </si>
  <si>
    <t>希捷 ST8000NM017B 8T 7.2k 3.5SATA 6G硬盘-B02</t>
  </si>
  <si>
    <t>5400122360100772</t>
  </si>
  <si>
    <t>WWZBJS42</t>
  </si>
  <si>
    <t>5400122360102771</t>
  </si>
  <si>
    <t>WWZBGHBD</t>
  </si>
  <si>
    <t>HDD11</t>
  </si>
  <si>
    <t>硬盘报错，外观无异常</t>
  </si>
  <si>
    <t>2026-05-08 15:55:32</t>
  </si>
  <si>
    <t>停用字节_BytedQC 压测 Runin</t>
  </si>
  <si>
    <t>2026-05-08 16:48:04</t>
  </si>
  <si>
    <t>重插交叉硬盘无效，重插硬盘数据线</t>
  </si>
  <si>
    <t>100001832--10</t>
  </si>
  <si>
    <t>2026-ck-srv-062595</t>
  </si>
  <si>
    <t>2026-05-08 16:53:23</t>
  </si>
  <si>
    <t>停用字节_AC测试-10LOOP</t>
  </si>
  <si>
    <t>2026-05-08 18:29:18</t>
  </si>
  <si>
    <t>更换P0-C6-D0</t>
  </si>
  <si>
    <t>B500002660435639</t>
  </si>
  <si>
    <t>8A91502551B0205D82</t>
  </si>
  <si>
    <t>B500002660424460</t>
  </si>
  <si>
    <t>8A91502550B0220D29</t>
  </si>
  <si>
    <t>P0-C6-D0</t>
  </si>
  <si>
    <t>内存MCE报错，外观无异常</t>
  </si>
  <si>
    <t>2026-ck-srv-062636</t>
  </si>
  <si>
    <t>2026-05-09 09:27:59</t>
  </si>
  <si>
    <t>停用字节_EGS混合压测-6H</t>
  </si>
  <si>
    <t>2026-05-09 10:38:52</t>
  </si>
  <si>
    <t>更换电源</t>
  </si>
  <si>
    <t>电源</t>
  </si>
  <si>
    <t>交叉跟着走 更换psu0</t>
  </si>
  <si>
    <t>33000256</t>
  </si>
  <si>
    <t>长城GW-CRPS1300D2WM白金1300W CRPS电源模块</t>
  </si>
  <si>
    <t>33000256ASC26247</t>
  </si>
  <si>
    <t>33000256ASG18145</t>
  </si>
  <si>
    <t>psu0</t>
  </si>
  <si>
    <t>同机型配置下验证PSU灯不亮</t>
  </si>
  <si>
    <t>100001858--10</t>
  </si>
  <si>
    <t>6210 C31</t>
  </si>
  <si>
    <t>2026-ck-srv-063839</t>
  </si>
  <si>
    <t>2026-05-16 13:16:07</t>
  </si>
  <si>
    <t>2026-05-16 13:18:28</t>
  </si>
  <si>
    <t>37003518</t>
  </si>
  <si>
    <t>重插ocp网卡无效，重插ocp线缆</t>
  </si>
  <si>
    <t>2026-ck-srv-063779</t>
  </si>
  <si>
    <t>2026-05-16 10:47:55</t>
  </si>
  <si>
    <t>字节_[客户定制][字节][长沙]轻量AC测试</t>
  </si>
  <si>
    <t>2026-05-16 11:47:55</t>
  </si>
  <si>
    <t>B6200020</t>
  </si>
  <si>
    <t>CPU1 CE报错，重插CPU1</t>
  </si>
  <si>
    <t>100001831--20</t>
  </si>
  <si>
    <t>30228545</t>
  </si>
  <si>
    <t>6102264304304320</t>
  </si>
  <si>
    <t>2026-ck-srv-062255</t>
  </si>
  <si>
    <t>2026-05-11 13:06:46</t>
  </si>
  <si>
    <t>字节_[字节][擎天]reboot 测试</t>
  </si>
  <si>
    <t>字节_[字节][擎天]reboot 测试_CPU CE报错</t>
  </si>
  <si>
    <t>2026-05-11 13:07:51</t>
  </si>
  <si>
    <t>重插CPU0无效，更换CPU0</t>
  </si>
  <si>
    <t>B6200021</t>
  </si>
  <si>
    <t>Intel 6759P-C 2.7G  64C 300W(B02)</t>
  </si>
  <si>
    <t>B620002172637442</t>
  </si>
  <si>
    <t>454Y54P800583</t>
  </si>
  <si>
    <t>B620002172645583</t>
  </si>
  <si>
    <t>454Y54P800332</t>
  </si>
  <si>
    <t>XZJ2604890--10</t>
  </si>
  <si>
    <t>30229048</t>
  </si>
  <si>
    <t>R420 G50</t>
  </si>
  <si>
    <t>9800196104311349</t>
  </si>
  <si>
    <t>30121864462</t>
  </si>
  <si>
    <t>2026-05-09 09:21:18</t>
  </si>
  <si>
    <t>硬盘固件刷新</t>
  </si>
  <si>
    <t>硬盘识别不全</t>
  </si>
  <si>
    <t>2026-05-11 14:10:55</t>
  </si>
  <si>
    <t>更换HBA卡</t>
  </si>
  <si>
    <t>QC5</t>
  </si>
  <si>
    <t>HBA卡</t>
  </si>
  <si>
    <t>重插无效更换HBA卡</t>
  </si>
  <si>
    <t>24003226</t>
  </si>
  <si>
    <t>Stars 2120-8i -E3x8 SE SAS 12Gb HBA卡</t>
  </si>
  <si>
    <t>24003226BHH00151</t>
  </si>
  <si>
    <t>P02010020BH17192</t>
  </si>
  <si>
    <t>24003226BHV00015</t>
  </si>
  <si>
    <t>P02010020BH09671</t>
  </si>
  <si>
    <t>二次上线报错</t>
  </si>
  <si>
    <t>100001840--30</t>
  </si>
  <si>
    <t>6220 C31</t>
  </si>
  <si>
    <t>2026-ck-srv-062591</t>
  </si>
  <si>
    <t>2026-05-08 16:05:34</t>
  </si>
  <si>
    <t>停用字节_[擎天]老化功能测试</t>
  </si>
  <si>
    <t>2026-05-08 16:21:44</t>
  </si>
  <si>
    <t>B6200022</t>
  </si>
  <si>
    <t>node0：重插交叉内存无效，重组CPU0</t>
  </si>
  <si>
    <t>100001840--10</t>
  </si>
  <si>
    <t>2026-ck-srv-062499</t>
  </si>
  <si>
    <t>2026-05-08 11:03:47</t>
  </si>
  <si>
    <t>停用字节_老化前测fail</t>
  </si>
  <si>
    <t>停用字节_老化前测fail_DPU网卡光纤灯不亮</t>
  </si>
  <si>
    <t>2026-05-08 11:48:26</t>
  </si>
  <si>
    <t>更换DPU智能网卡</t>
  </si>
  <si>
    <t>QC2</t>
  </si>
  <si>
    <t>DPU智能网卡</t>
  </si>
  <si>
    <t>重插DPU网卡无效，交叉跟着网卡走，更换DPU网卡</t>
  </si>
  <si>
    <t>24003786</t>
  </si>
  <si>
    <t>WGS 火山引擎 双口100G O3L DSFP SPI SSD智能网卡-B02</t>
  </si>
  <si>
    <t>2400378660003223</t>
  </si>
  <si>
    <t>EM4C20000J40011</t>
  </si>
  <si>
    <t>2400378660003500</t>
  </si>
  <si>
    <t>EM5BF000SS40012</t>
  </si>
  <si>
    <t>DPU网卡二次上线光纤灯不亮</t>
  </si>
  <si>
    <t>2026-ck-srv-062500</t>
  </si>
  <si>
    <t>2026-05-11 11:07:47</t>
  </si>
  <si>
    <t>字节_[字节][擎天]混合压测</t>
  </si>
  <si>
    <t>2026-05-11 11:12:59</t>
  </si>
  <si>
    <t>node1：CPU0 CE报错，重插CPU0</t>
  </si>
  <si>
    <t>100001840--20</t>
  </si>
  <si>
    <t>2026-ck-srv-062561</t>
  </si>
  <si>
    <t>2026-05-11 10:23:00</t>
  </si>
  <si>
    <t>字节_[客户定制][字节]混合压测1H与REBOOT 4LOOP</t>
  </si>
  <si>
    <t>2026-05-11 11:08:52</t>
  </si>
  <si>
    <t>node1：更换P0_C0_D0_N1</t>
  </si>
  <si>
    <t>B5000057</t>
  </si>
  <si>
    <t>MI MTC40F204WS1RC64BC1 D5 64R 96G内存-B02</t>
  </si>
  <si>
    <t>B500005760000768</t>
  </si>
  <si>
    <t>802C0F25205015BB2B</t>
  </si>
  <si>
    <t>B500005760004973</t>
  </si>
  <si>
    <t>802C0F254854903184</t>
  </si>
  <si>
    <t>P0_C0_D0_N1</t>
  </si>
  <si>
    <t>内存Correctable ECC，外观无异常</t>
  </si>
  <si>
    <t>6102228104301001</t>
  </si>
  <si>
    <t>刘才来</t>
  </si>
  <si>
    <t>2026-05-09 07:29:54</t>
  </si>
  <si>
    <t>停用字节_[TMS/JHS]压力测试_PCIE链路报错</t>
  </si>
  <si>
    <t>张义松 桐乡</t>
  </si>
  <si>
    <t>2026-05-09 07:33:05</t>
  </si>
  <si>
    <t>slot10/5</t>
  </si>
  <si>
    <t>2026-05-09 07:29:08</t>
  </si>
  <si>
    <t>停用字节_黑白名单检查_压测_GPU无温度</t>
  </si>
  <si>
    <t>2026-05-09 07:31:25</t>
  </si>
  <si>
    <t>交叉 slot11/5 供电线slot11/7</t>
  </si>
  <si>
    <t>slot11</t>
  </si>
  <si>
    <t>2026-05-08 22:44:13</t>
  </si>
  <si>
    <t>2026-05-08 23:10:54</t>
  </si>
  <si>
    <t>交叉SLOT6/4</t>
  </si>
  <si>
    <t>SLOT6</t>
  </si>
  <si>
    <t>30228119</t>
  </si>
  <si>
    <t>6102228104300964</t>
  </si>
  <si>
    <t>2026-05-08 06:20:28</t>
  </si>
  <si>
    <t>停用字节_[TMS/JHS]压力测试_GPU报错</t>
  </si>
  <si>
    <t>2026-05-08 06:51:53</t>
  </si>
  <si>
    <t>交叉跟着走 更换 SLOT4</t>
  </si>
  <si>
    <t>B240001760037615</t>
  </si>
  <si>
    <t>8SSTA7C06719L7HF63D02MH</t>
  </si>
  <si>
    <t>B240001760036606</t>
  </si>
  <si>
    <t>8SSTA7C06719L7HF63D059D</t>
  </si>
  <si>
    <t>SLOT4</t>
  </si>
  <si>
    <t>GPU报错，外观无异常</t>
  </si>
  <si>
    <t>2026-05-08 22:45:25</t>
  </si>
  <si>
    <t>2026-05-08 23:00:54</t>
  </si>
  <si>
    <t>交叉GPU验证跟着走 更换SLOT5</t>
  </si>
  <si>
    <t>B240001760037873</t>
  </si>
  <si>
    <t>8SSTA7C06719L7HF6370116</t>
  </si>
  <si>
    <t>B240001760045304</t>
  </si>
  <si>
    <t>8SSTA7C06719L7HF63D0481</t>
  </si>
  <si>
    <t>SLOT5</t>
  </si>
  <si>
    <t>2026-05-15 22:22:12</t>
  </si>
  <si>
    <t>2026-05-15 22:57:47</t>
  </si>
  <si>
    <t>更换GPU底板</t>
  </si>
  <si>
    <t>底板</t>
  </si>
  <si>
    <t>更换底板</t>
  </si>
  <si>
    <t>24004449</t>
  </si>
  <si>
    <t>R12E6-4EM6-H-U4_C01_MPS_1拖2_SCC(B02-QDH)</t>
  </si>
  <si>
    <t>24004449BHK04245</t>
  </si>
  <si>
    <t>S121753261200797</t>
  </si>
  <si>
    <t>24004449BHK05097</t>
  </si>
  <si>
    <t>S121753261300271</t>
  </si>
  <si>
    <t>2026-ck-srv-062483</t>
  </si>
  <si>
    <t>2026-05-08 06:19:02</t>
  </si>
  <si>
    <t>2026-05-08 06:53:37</t>
  </si>
  <si>
    <t>交叉硬盘验证跟着硬盘走 更换nvme0</t>
  </si>
  <si>
    <t>B5400016</t>
  </si>
  <si>
    <t>SDM SSDPF2KX038T1 3.84T 2.5-E4x4 RSSDB02</t>
  </si>
  <si>
    <t>B540001660112607</t>
  </si>
  <si>
    <t>BTAX5422099R3P8CGN</t>
  </si>
  <si>
    <t>B540001660111908</t>
  </si>
  <si>
    <t>BTAX5416034J3P8CGN</t>
  </si>
  <si>
    <t>nvme0</t>
  </si>
  <si>
    <t>2026-ck-srv-062243</t>
  </si>
  <si>
    <t>2026-05-10 21:36:22</t>
  </si>
  <si>
    <t>字节_[字节][千岛湖]BOX测试前BMC设置设置V2</t>
  </si>
  <si>
    <t>2026-05-10 21:38:03</t>
  </si>
  <si>
    <t>更换信号线</t>
  </si>
  <si>
    <t>信号线</t>
  </si>
  <si>
    <t>重插无效 更换信号线 20260122</t>
  </si>
  <si>
    <t>37002572</t>
  </si>
  <si>
    <t>2026-ck-srv-062094</t>
  </si>
  <si>
    <t>2026-05-10 23:49:34</t>
  </si>
  <si>
    <t>2026-05-10 23:54:50</t>
  </si>
  <si>
    <t>37002293</t>
  </si>
  <si>
    <t>CDFP4链路报错 重插J76 J79</t>
  </si>
  <si>
    <t>2026-05-14 23:41:00</t>
  </si>
  <si>
    <t>2026-05-14 23:44:15</t>
  </si>
  <si>
    <t>丢CDFP1/5的GPU 重插MCIO线 J24 J25 J80 J87</t>
  </si>
  <si>
    <t>6102228404323851</t>
  </si>
  <si>
    <t>2026-ck-srv-063718</t>
  </si>
  <si>
    <t>2026-05-15 06:30:53</t>
  </si>
  <si>
    <t>2026-05-15 06:59:42</t>
  </si>
  <si>
    <t>交叉retimer卡跟着走 更换retimer卡3</t>
  </si>
  <si>
    <t>2400358660298336</t>
  </si>
  <si>
    <t>C0112602HT307260354572</t>
  </si>
  <si>
    <t>2400358660298549</t>
  </si>
  <si>
    <t>C0112602HT307260353849</t>
  </si>
  <si>
    <t>retimer卡3</t>
  </si>
  <si>
    <t>GPU不识别，外观无异常</t>
  </si>
  <si>
    <t>2026-ck-srv-063023</t>
  </si>
  <si>
    <t>2026-05-12 23:10:11</t>
  </si>
  <si>
    <t>字节_[字节][千岛湖]AC测试V2</t>
  </si>
  <si>
    <t>2026-05-12 23:34:35</t>
  </si>
  <si>
    <t>更换P1_C4_D0</t>
  </si>
  <si>
    <t>B500002660434557</t>
  </si>
  <si>
    <t>8A91502550B02114DC</t>
  </si>
  <si>
    <t>B500002660424387</t>
  </si>
  <si>
    <t>8A91502551B0205314</t>
  </si>
  <si>
    <t>P1_C4_D0</t>
  </si>
  <si>
    <t>2026-ck-srv-062412</t>
  </si>
  <si>
    <t>2026-05-08 20:47:49</t>
  </si>
  <si>
    <t>2026-05-08 21:49:00</t>
  </si>
  <si>
    <t>更换NVME13</t>
  </si>
  <si>
    <t>B540001760170041</t>
  </si>
  <si>
    <t>BTAX6075030T7P6DGN</t>
  </si>
  <si>
    <t>B540001760178208</t>
  </si>
  <si>
    <t>BTAX61220DRP7P6DGN</t>
  </si>
  <si>
    <t>NVME13</t>
  </si>
  <si>
    <t>100001862--20</t>
  </si>
  <si>
    <t>2026-ck-srv-063494</t>
  </si>
  <si>
    <t>2026-05-14 22:55:07</t>
  </si>
  <si>
    <t>字节_[客户定制][字节]REBOOT 1LOOP</t>
  </si>
  <si>
    <t>2026-05-14 22:57:07</t>
  </si>
  <si>
    <t>37001838</t>
  </si>
  <si>
    <t>重插OCP线缆</t>
  </si>
  <si>
    <t>2026-05-10 23:43:17</t>
  </si>
  <si>
    <t>2026-05-10 23:53:08</t>
  </si>
  <si>
    <t>37001621</t>
  </si>
  <si>
    <t>M.2硬盘降速 重插数据线</t>
  </si>
  <si>
    <t>2026-05-09 07:44:54</t>
  </si>
  <si>
    <t>停用字节_检查项FRU_FRU信息识别不全</t>
  </si>
  <si>
    <t>张义松</t>
  </si>
  <si>
    <t>刘才来 桐乡</t>
  </si>
  <si>
    <t>2026-05-09 07:59:23</t>
  </si>
  <si>
    <t>重插信号线</t>
  </si>
  <si>
    <t>交叉 上下层信号线</t>
  </si>
  <si>
    <t>2026-ck-srv-063801</t>
  </si>
  <si>
    <t>2026-05-15 22:23:42</t>
  </si>
  <si>
    <t>字节_[字节][擎天]BIOS 选项检查</t>
  </si>
  <si>
    <t>2026-05-15 22:41:58</t>
  </si>
  <si>
    <t>更换P1-C6-D1</t>
  </si>
  <si>
    <t>B5000054</t>
  </si>
  <si>
    <t>SA M321R8GA0EB2-CCP DDR5 64R 64G内存-B02</t>
  </si>
  <si>
    <t>B500005460067272</t>
  </si>
  <si>
    <t>80CE04261143C85B3E</t>
  </si>
  <si>
    <t>B500005460046407</t>
  </si>
  <si>
    <t>80CE042602434F726E</t>
  </si>
  <si>
    <t>P1-C6-D1</t>
  </si>
  <si>
    <t>2026-05-12 00:08:44</t>
  </si>
  <si>
    <t>磁盘smart信息检查</t>
  </si>
  <si>
    <t>磁盘smart信息检测_UDMA_CRC_Error_Count</t>
  </si>
  <si>
    <t>2026-05-12 00:41:27</t>
  </si>
  <si>
    <t>重插硬盘</t>
  </si>
  <si>
    <t>K5400164</t>
  </si>
  <si>
    <t>HDD1/2</t>
  </si>
  <si>
    <t>6102228104316629</t>
  </si>
  <si>
    <t>2026-05-12 22:31:59</t>
  </si>
  <si>
    <t>字节_[字节][千岛湖]BF3mini FW版本检查</t>
  </si>
  <si>
    <t>字节_[字节][千岛湖]BF3mini FW版本检查_BF3mini FW版本错误</t>
  </si>
  <si>
    <t>2026-05-12 22:36:19</t>
  </si>
  <si>
    <t>24003699</t>
  </si>
  <si>
    <t>slot9/3</t>
  </si>
  <si>
    <t>slot9</t>
  </si>
  <si>
    <t>30228129</t>
  </si>
  <si>
    <t>6102228104315783</t>
  </si>
  <si>
    <t>2026-05-11 21:08:01</t>
  </si>
  <si>
    <t>字节_[客户定制][字节]检查项NIC</t>
  </si>
  <si>
    <t>字节_[客户定制][字节]检查项NIC_网卡不识别</t>
  </si>
  <si>
    <t>2026-05-11 21:46:17</t>
  </si>
  <si>
    <t>交叉SLOT9/3</t>
  </si>
  <si>
    <t>SLOT9</t>
  </si>
  <si>
    <t>2026-05-15 22:53:16</t>
  </si>
  <si>
    <t>2026-05-15 22:54:05</t>
  </si>
  <si>
    <t>重插SLOT0</t>
  </si>
  <si>
    <t>SLOT0</t>
  </si>
  <si>
    <t>2026-05-15 22:52:05</t>
  </si>
  <si>
    <t>字节_[客户定制][字节]黑白名单检查_压测</t>
  </si>
  <si>
    <t>字节_[客户定制][字节]黑白名单检查_压测_GPU链路报错</t>
  </si>
  <si>
    <t>2026-05-15 22:54:41</t>
  </si>
  <si>
    <t>重插SLOT1</t>
  </si>
  <si>
    <t>2026-05-15 22:23:03</t>
  </si>
  <si>
    <t>2026-05-15 22:24:14</t>
  </si>
  <si>
    <t>重插SLOT10/11</t>
  </si>
  <si>
    <t>SLOT10/11</t>
  </si>
  <si>
    <t>2026-ck-srv-063055</t>
  </si>
  <si>
    <t>2026-05-10 01:12:07</t>
  </si>
  <si>
    <t>停用字节_BF3串口通信检查</t>
  </si>
  <si>
    <t>2026-05-10 01:16:04</t>
  </si>
  <si>
    <t>重插BF3网卡，整理数据线</t>
  </si>
  <si>
    <t>BF3网卡</t>
  </si>
  <si>
    <t>2026-05-10 01:12:47</t>
  </si>
  <si>
    <t>2026-05-10 01:15:09</t>
  </si>
  <si>
    <t>2026-05-13 06:17:23</t>
  </si>
  <si>
    <t>2026-05-13 06:20:41</t>
  </si>
  <si>
    <t>重插交叉网卡无效，交叉CPU</t>
  </si>
  <si>
    <t>2026-05-11 21:09:08</t>
  </si>
  <si>
    <t>2026-05-11 21:47:15</t>
  </si>
  <si>
    <t>node1：CPU0 CE报错，交叉CPU</t>
  </si>
  <si>
    <t>2026-05-16 07:15:05</t>
  </si>
  <si>
    <t>2026-05-16 07:16:15</t>
  </si>
  <si>
    <t>node0：交叉跟着CPU走，更换当前CPU0</t>
  </si>
  <si>
    <t>Intel 6986P-C 2.9G 120C 550W CPU(B02)</t>
  </si>
  <si>
    <t>B620002272639771</t>
  </si>
  <si>
    <t>75EG192900139</t>
  </si>
  <si>
    <t>B620002272652323</t>
  </si>
  <si>
    <t>75XM680800406</t>
  </si>
  <si>
    <t>30228127</t>
  </si>
  <si>
    <t>6102228104312935</t>
  </si>
  <si>
    <t>2026-05-10 09:16:17</t>
  </si>
  <si>
    <t>停用字节_健康检查</t>
  </si>
  <si>
    <t>停用字节_健康检查_GPU带宽速率低</t>
  </si>
  <si>
    <t>2026-05-10 09:53:38</t>
  </si>
  <si>
    <t>交叉slot11/4</t>
  </si>
  <si>
    <t>SLOT11</t>
  </si>
  <si>
    <t>6102228104309944</t>
  </si>
  <si>
    <t>2026-05-08 18:33:13</t>
  </si>
  <si>
    <t>2026-05-08 18:39:36</t>
  </si>
  <si>
    <t>交叉slot4/7</t>
  </si>
  <si>
    <t>6102228104317282</t>
  </si>
  <si>
    <t>2026-05-13 10:53:46</t>
  </si>
  <si>
    <t>2026-05-13 10:55:52</t>
  </si>
  <si>
    <t>网卡</t>
  </si>
  <si>
    <t>交叉SLOT 2/8</t>
  </si>
  <si>
    <t>SLOT2</t>
  </si>
  <si>
    <t>2026-05-10 16:07:00</t>
  </si>
  <si>
    <t>2026-05-10 16:21:10</t>
  </si>
  <si>
    <t>CPU0 mce报错 交叉CPU验证</t>
  </si>
  <si>
    <t>2026-05-10 15:57:37</t>
  </si>
  <si>
    <t>停用字节_[千岛湖] BF3 HOST混合压力测试</t>
  </si>
  <si>
    <t>2026-05-10 15:59:15</t>
  </si>
  <si>
    <t>2026-05-13 11:57:05</t>
  </si>
  <si>
    <t>2026-05-13 13:40:10</t>
  </si>
  <si>
    <t>PE指导更换数据线线缆J76/J79验证</t>
  </si>
  <si>
    <t>J76/J79</t>
  </si>
  <si>
    <t>6102264704305213</t>
  </si>
  <si>
    <t>2026-ck-srv-062599</t>
  </si>
  <si>
    <t>TXM-OP190保压测试</t>
  </si>
  <si>
    <t>2026-05-08 10:43:59</t>
  </si>
  <si>
    <t>保压测试失败</t>
  </si>
  <si>
    <t>停用_保压测试失败_漏气</t>
  </si>
  <si>
    <t>2026-05-08 13:17:50</t>
  </si>
  <si>
    <t>更换冷板</t>
  </si>
  <si>
    <t>冷板组件</t>
  </si>
  <si>
    <t>3004550</t>
  </si>
  <si>
    <t>TS 1LP-081SVB1969 1U I EGS CPU 冷板组件</t>
  </si>
  <si>
    <t>0300455030000412</t>
  </si>
  <si>
    <t>0300455030000380</t>
  </si>
  <si>
    <t>液冷管接口漏气</t>
  </si>
  <si>
    <t>6102264304304326</t>
  </si>
  <si>
    <t>2026-ck-srv-062261</t>
  </si>
  <si>
    <t>2026-05-08 08:25:15</t>
  </si>
  <si>
    <t>停用字节_Changsha 混合压测</t>
  </si>
  <si>
    <t>停用字节_Changsha 混合压测_硬盘I/O报错</t>
  </si>
  <si>
    <t>2026-05-08 08:29:05</t>
  </si>
  <si>
    <t>无法进系统 单硬盘验证为硬盘原因 更换nvme1</t>
  </si>
  <si>
    <t>B5400047</t>
  </si>
  <si>
    <t>SA MZWL61T9HFLT 1.92T 2.5-E5x4 R SSD-B02</t>
  </si>
  <si>
    <t>B540004760004215</t>
  </si>
  <si>
    <t>S7LYNT0L108384</t>
  </si>
  <si>
    <t>B540004760004131</t>
  </si>
  <si>
    <t>S7LYNT0L100858</t>
  </si>
  <si>
    <t>nvme1</t>
  </si>
  <si>
    <t>硬盘I/O报错，外观无异常</t>
  </si>
  <si>
    <t>2026-ck-srv-062577</t>
  </si>
  <si>
    <t>2026-05-09 11:53:37</t>
  </si>
  <si>
    <t>2026-05-09 11:54:53</t>
  </si>
  <si>
    <t>37003736</t>
  </si>
  <si>
    <t>node0：重插I/O板信号线</t>
  </si>
  <si>
    <t>[客户定制][字节][TMS/JHS]压力测试</t>
    <phoneticPr fontId="1" type="noConversion"/>
  </si>
  <si>
    <t>停用字节_[千岛湖]G51_BOX retimer FW 刷新V3</t>
    <phoneticPr fontId="1" type="noConversion"/>
  </si>
  <si>
    <t>维修动作</t>
    <phoneticPr fontId="1" type="noConversion"/>
  </si>
  <si>
    <t>报错测试项</t>
    <phoneticPr fontId="1" type="noConversion"/>
  </si>
  <si>
    <t>230  Bus Correctable error 20260510 200818  mainBlackListTest  INFO  line616  cmd lsblk ndp  awk nvmediskprint 1 20260510 200818  mainBlackListTest  INFO  line48  Run Cmd lsblk ndp  awk nvmediskprint 1 20260510 200818  mainBlackListTest  INFO  line54  Return 0 20260510 200818  mainBlackListTest  INFO  line59  output devnvme1n1  Health test FAIL ERROR Health check fail RESULT        FAIL     End at 20260510 200842  20260510 200907info  PCIE  20260510 200907info PACKAGE SH10T13E42GAS     FAIL</t>
    <phoneticPr fontId="1" type="noConversion"/>
  </si>
  <si>
    <t>COMMON BOARD ERROR FUNCTION Black list check fail fail type sel dmessage message</t>
    <phoneticPr fontId="1" type="noConversion"/>
  </si>
  <si>
    <t>selog1  p2p c box01 T 300 dir uni 004619600INFO save log to systemsltbm20260509004619log use ooutput to change log location  Total Test Result FAILURE BDAASLTrunbmcmd1604cmd run error BDAASLTruntestlist1043P2P unidirectional bandwidth test failed test abort ID  Result  Description                                       Testing Command  0  FAIL    P2P unidirectional bandwidth test                 systemsltbm showcaselog1  p2p c box01 T 300 dir uni FAIL 20260509 005629  fail RESULT        FAIL</t>
    <phoneticPr fontId="1" type="noConversion"/>
  </si>
  <si>
    <t>PCI   Local addr  00003b001 LnkCap  16GTsx8 LnkSta  16GTsx8 equal  PCI   Local addr  0000b8000 LnkCap  16GTsx8 LnkSta  16GTsx1 CPU LnkCap  32GTsx8 not equal  PCI   Local addr  0000b8001 LnkCap  16GTsx8 LnkSta  16GTsx1 CPU LnkCap  32GTsx8 not equal  PCI0 Local Count  2  PCI0 check result fail   PCI   Local addr  00004c000 LnkCap  32GTsx4 LnkSta  32GTsx4 equal  PCI   Local addr  00004d000 LnkCap  32GTsx4 LnkSta  32GTsx4 equal  PCI1 Local Count  2  PCI1 check result success PCI check result fail</t>
    <phoneticPr fontId="1" type="noConversion"/>
  </si>
  <si>
    <t>Sat May  9 110443 2026 nvme nvme16 Failed to configure AEN cfg 300 May  9 110512 bytedancehostv13 kernel     6608338   T96 nvme nvme16 Failed to configure AEN cfg 300   15  05092026  025618  Critical Interrupt PCIEStatus  Bus Uncorrectable error BDF 000000  Deasserted   12  05092026  013246  Drive Slot  Bay NVMEStatus  Drive Fault Drive Slot04  Asserted   2a  05092026  030402  Drive Slot  Bay NVMEStatus  Drive Fault Drive Slot16  Asserted</t>
    <phoneticPr fontId="1" type="noConversion"/>
  </si>
  <si>
    <t>import 01000 15b3197b  LinkCap 320GTs x16  LinkSta 320GTs x16 import 02000 15b3197b  LinkCap 320GTs x16  LinkSta 320GTs x16 import 02030 15b3197b  LinkCap 320GTs x16  LinkSta 320GTs x16 import 03000 15b3a2dc  LinkCap 320GTs x16  LinkSta 320GTs x16 import 03001 15b3a2dc  LinkCap 320GTs x16  LinkSta 320GTs x16 import 04000 15b3197b  LinkCap 320GTs x16  LinkSta 320GTs x16 import 05000 15b3197b  LinkCap 320GTs x2  LinkSta 80GTs x2</t>
    <phoneticPr fontId="1" type="noConversion"/>
  </si>
  <si>
    <t>Wed May 13 103829 2026 brcmpexnt2 ERROR Invalid Ham Device Context HAM Context 0000000000000000 Wed May 13 103829 2026 brcmpexnt2 ERROR Invalid Ham Device Context HAM Context 0000000000000000 Wed May 13 103829 2026 brcmpexnt2 ERROR Invalid Ham Device Context HAM Context 0000000000000000 Wed May 13 103829 2026 brcmpexnt2 ERROR Invalid Ham Device Context HAM Context 0000000000000000 Wed May 13 103829 2026 brcmpexnt2 ERROR Invalid Ham Device Context HAM Context 0000000000000000</t>
    <phoneticPr fontId="1" type="noConversion"/>
  </si>
  <si>
    <t>300 dir uni 011559984INFO save log to systemsltbm20260512011559log use ooutput to change log location  FAIL BDAASLTrunbmcmd1619cant get valid result output cmd is not finish normally BDAASLTruntestlist1043P2P unidirectional bandwidth test failed test abort ID  Result  Description                                       Testing Command  0  FAIL    P2P unidirectional bandwidth test                 systemsltbm showcaselog1  p2p c box01 T 300 dir uni FAIL 20260512 012609  fail RESULT        FAIL</t>
    <phoneticPr fontId="1" type="noConversion"/>
  </si>
  <si>
    <t>300 dir uni 175332812INFO save log to systemsltbm20260512175332log use ooutput to change log location  FAIL BDAASLTrunbmcmd1619cant get valid result output cmd is not finish normally BDAASLTruntestlist1043P2P unidirectional bandwidth test failed test abort ID  Result  Description                                       Testing Command  0  FAIL    P2P unidirectional bandwidth test                 systemsltbm showcaselog1  p2p c box01 T 300 dir uni FAIL 20260512 180342  fail RESULT        FAIL</t>
    <phoneticPr fontId="1" type="noConversion"/>
  </si>
  <si>
    <t>Tue May 12 170800 2026 mce Hardware Error Machine check events logged Tue May 12 170800 2026 EDAC skx MC6 HANDLING MCE MEMORY ERROR Tue May 12 170800 2026 EDAC MC6 18869 CE memory scrubbing error on CPUSrcID1MC2Chan0DIMM0 channel0 slot0 page0xa073495 offset0xc00 grain32 syndrome0x0   errcode0x00080x00c0 ProcessorSocketId0x1 MemoryControllerId0x2 PhysicalRankId0x0 Row0x38c9 Column0x7f0 Bank0x2 BankGroup0x5 Tue May 12 170800 2026 1Hardware Error Hardware error from APEI Generic Hardware Error Sour</t>
    <phoneticPr fontId="1" type="noConversion"/>
  </si>
  <si>
    <t>PCI   Local addr  00009d000 LnkCap  16GTsx4 LnkSta  16GTsx4 equal  PCI   Local addr  00009e000 LnkCap  16GTsx4 LnkSta  16GTsx4 equal  PCI   Local addr  0000a0000 LnkCap  16GTsx4 LnkSta  16GTsx4 equal  PCI1 Local Count  3  PCI1 check result fail PCI check result fail  Disk  Disk0 Input SN  B5400016 Model  SOLIDIGM SSDPF2KX038T1 Count  4 Revision 9CV10511  Disk0 Local Count  3  Disk0 check result fail Disk check result fail</t>
    <phoneticPr fontId="1" type="noConversion"/>
  </si>
  <si>
    <t>f  05122026  134338  Power Supply PSU0Supply  Power Supply AC lost  Asserted   10  05122026  134338  Power Supply RedundantPSU  Redundancy Lost  Asserted PSU0PIn          82h  ok   100  0 Watts PSU0POut         84h  ok   100  0 Watts PSU0IIn          2Dh  ok   100  0 Amps PSU0IOut         2Fh  ok   100  0 Amps fail health check fatal import e7010 80860b25  LinkCap na na  LinkSta na na import e7020 80860cfe  LinkCap na na  LinkSta na na import f1000 808609a2  LinkCap na na  LinkSta na na</t>
    <phoneticPr fontId="1" type="noConversion"/>
  </si>
  <si>
    <t>停用字节_黑白名单检查_前测_PCIE链路报错</t>
    <phoneticPr fontId="1" type="noConversion"/>
  </si>
  <si>
    <t>CI2 Input SN  24002512 device  0x17510x14e40x51050x14e4 Class  NA Count  1  PCI   Local addr  000017000 LnkCap  16GTsx16 LnkSta  16GTsx16 equal  PCI2 Local Count  1  PCI2 check result success PCI check result fail  Disk  Disk0 Input SN  54001223 Model  ST8000NM017B2TJ103 Count  24 Revision SC04  Disk0 Local Count  0  Disk0 check result fail  Disk1 Input SN  B5400015 Model  SOLIDIGM SSDPF2KX019T1M Count  1 Revision 9CV10511  Disk1 Local Count  1  Disk1 check result success Disk check result fail</t>
    <phoneticPr fontId="1" type="noConversion"/>
  </si>
  <si>
    <t>Sat May  9 102940 2026 mce Hardware Error Machine check events logged Sat May  9 102940 2026 mce Hardware Error CPU 0 Machine Check 0 Bank 13 8c14694200800090 Sat May  9 102940 2026 mce Hardware Error TSC 0 ADDR 6d542d40 MISC 900024011987086  Sat May  9 102940 2026 mce Hardware Error PROCESSOR 0806f8 TIME 1778293773 SOCKET 0 APIC 0 microcode 2b000643 Sat May  9 102940 2026 mce Hardware Error Machine check events logged Sat May  9 102940 2026 mce Hardware Error CPU 0 Machine Check 0 Bank 13 8c001</t>
    <phoneticPr fontId="1" type="noConversion"/>
  </si>
  <si>
    <t>s Correctable error 20260511 194939  mainBlackListTest  INFO  line616  cmd lsblk ndp  awk nvmediskprint 1 20260511 194939  mainBlackListTest  INFO  line48  Run Cmd lsblk ndp  awk nvmediskprint 1 20260511 194939  mainBlackListTest  INFO  line54  Return 0 20260511 194939  mainBlackListTest  INFO  line59  output devnvme1n1  Health test FAIL ERROR Health check fail RESULT        FAIL     End at 20260511 195003  20260511 195028info  P3V Volts  20260511 195028info P3VBAT 3140000  2960000     FAIL</t>
    <phoneticPr fontId="1" type="noConversion"/>
  </si>
  <si>
    <t>Disk  Disk0 Input SN  54001223 Model  ST8000NM017B2TJ103 Count  24 Revision SC04  Disk0 Local Count  23  Disk0 check result fail  Disk1 Input SN  B5400015 Model  SOLIDIGM SSDPF2KX019T1M Count  1 Revision 9CV10511  Disk1 Local Count  1  Disk1 check result success Disk check result fail</t>
    <phoneticPr fontId="1" type="noConversion"/>
  </si>
  <si>
    <t>Fri May  8 144657 2026 mce Hardware Error Machine check events logged Fri May  8 144657 2026 EDAC skx MC3 HANDLING MCE MEMORY ERROR Fri May  8 144657 2026 EDAC DEBUG skxmceoutputerror  errcode0x00800x0090  SystemAddress0x2aa56a3f00 ProcessorSocketId0x0 MemoryControllerId0x3 ChannelAddress0x708e70a00 ChannelId0x0 RankAddress0x1c239c280 PhysicalRankId0x0 DimmSlotId0x0 DimmRankId0x0 Row0x501e Column0x4b0 Bank0x1 BankGroup0x6 ChipSelect0x0 retryrderrlog08808208 0000007a 4000000020000000 12c58002 800</t>
    <phoneticPr fontId="1" type="noConversion"/>
  </si>
  <si>
    <t>selog1  p2p c box01 T 300 dir uni 034208744INFO save log to systemsltbm20260509034208log use ooutput to change log location  Total Test Result FAILURE BDAASLTrunbmcmd1604cmd run error BDAASLTruntestlist1043P2P unidirectional bandwidth test failed test abort ID  Result  Description                                       Testing Command  0  FAIL    P2P unidirectional bandwidth test                 systemsltbm showcaselog1  p2p c box01 T 300 dir uni FAIL 20260509 035218  fail RESULT        FAIL</t>
    <phoneticPr fontId="1" type="noConversion"/>
  </si>
  <si>
    <t>230  Bus Correctable error 20260510 024429  mainBlackListTest  INFO  line616  cmd lsblk ndp  awk nvmediskprint 1 20260510 024429  mainBlackListTest  INFO  line48  Run Cmd lsblk ndp  awk nvmediskprint 1 20260510 024429  mainBlackListTest  INFO  line54  Return 0 20260510 024429  mainBlackListTest  INFO  line59  output devnvme0n1  Health test FAIL ERROR Health check fail RESULT        FAIL     End at 20260510 024453  20260510 024518info  PCIE  20260510 024518info PACKAGE SH10T13E42GAS     FAIL</t>
    <phoneticPr fontId="1" type="noConversion"/>
  </si>
  <si>
    <t>4  05142026  124641  OEM record cd  00b3dd  bacc02030000 Current PCIe devices do not match PCIe topology check black keys fail check pcie fail custom toutiao task fail</t>
    <phoneticPr fontId="1" type="noConversion"/>
  </si>
  <si>
    <t>230  Bus Correctable error 20260508 190215  mainBlackListTest  INFO  line616  cmd lsblk ndp  awk nvmediskprint 1 20260508 190215  mainBlackListTest  INFO  line48  Run Cmd lsblk ndp  awk nvmediskprint 1 20260508 190215  mainBlackListTest  INFO  line54  Return 0 20260508 190215  mainBlackListTest  INFO  line59  output devnvme1n1  Health test FAIL ERROR Health check fail RESULT        FAIL     End at 20260508 190239  20260508 190304info  PCIE  20260508 190304info PACKAGE SH10T13E42GAS     FAIL</t>
    <phoneticPr fontId="1" type="noConversion"/>
  </si>
  <si>
    <t>import e7010 80860b25  LinkCap na na  LinkSta na na import e7020 80860cfe  LinkCap na na  LinkSta na na import f1000 808609a2  LinkCap na na  LinkSta na na import f1001 808609a4  LinkCap na na  LinkSta na na import f1002 808609a3  LinkCap na na  LinkSta na na import f1004 80860b23  LinkCap na na  LinkSta na na import f1010 80860b25  LinkCap na na  LinkSta na na import f1020 80860cfe  LinkCap na na  LinkSta na na</t>
    <phoneticPr fontId="1" type="noConversion"/>
  </si>
  <si>
    <t>9  05132026  013501  Power Supply RedundantPSU  Fully Redundant  Deasserted    7  05132026  013451  Power Unit PowerFault  State Asserted ErrorType OTHER  Asserted    b  05132026  013547  Power Unit PowerFault  State Asserted ErrorType OTHER  Asserted    7  05132026  013451  Power Unit PowerFault  State Asserted ErrorType OTHER  Asserted    b  05132026  013547  Power Unit PowerFault  State Asserted ErrorType OTHER  Asserted    8  05132026  013457  Power Supply PSU0Supply  Power Supply AC lost  A</t>
    <phoneticPr fontId="1" type="noConversion"/>
  </si>
  <si>
    <t>16  05142026  134438  OEM record cd  00b3dd  bacc02030000 Current PCIe devices do not match PCIe topology import e7010 80860b25  LinkCap na na  LinkSta na na import e7020 80860cfe  LinkCap na na  LinkSta na na import f1000 808609a2  LinkCap na na  LinkSta na na import f1001 808609a4  LinkCap na na  LinkSta na na import f1002 808609a3  LinkCap na na  LinkSta na na import f1004 80860b23  LinkCap na na  LinkSta na na</t>
    <phoneticPr fontId="1" type="noConversion"/>
  </si>
  <si>
    <t>selog1  p2p c box01 T 300 dir uni 032426506INFO save log to systemsltbm20260508032426log use ooutput to change log location  Total Test Result FAILURE BDAASLTrunbmcmd1604cmd run error BDAASLTruntestlist1043P2P unidirectional bandwidth test failed test abort ID  Result  Description                                       Testing Command  0  FAIL    P2P unidirectional bandwidth test                 systemsltbm showcaselog1  p2p c box01 T 300 dir uni FAIL 20260508 033436  fail RESULT        FAIL</t>
    <phoneticPr fontId="1" type="noConversion"/>
  </si>
  <si>
    <t>12  05082026  010459  Drive Slot  Bay HDDStatus  Drive Present Drive Slot01  Deasserted   13  05082026  010501  Drive Slot  Bay HDDStatus  Drive Present Drive Slot05  Deasserted</t>
    <phoneticPr fontId="1" type="noConversion"/>
  </si>
  <si>
    <t>停用字节_[擎天]老化功能测试_进风口温度异常</t>
    <phoneticPr fontId="1" type="noConversion"/>
  </si>
  <si>
    <t>故障分类</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</si>
</sst>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宋体"/>
      <family val="2"/>
      <scheme val="minor"/>
    </font>
    <font>
      <sz val="9"/>
      <name val="宋体"/>
      <family val="3"/>
      <charset val="134"/>
      <scheme val="minor"/>
    </font>
    <font>
      <sz val="12"/>
      <color rgb="FF000000"/>
      <name val="宋体"/>
      <family val="3"/>
      <charset val="134"/>
      <scheme val="minor"/>
    </font>
    <font>
      <sz val="14"/>
      <color theme="1"/>
      <name val="宋体"/>
      <family val="3"/>
      <charset val="134"/>
      <scheme val="minor"/>
    </font>
    <font>
      <sz val="14"/>
      <color rgb="FF000000"/>
      <name val="宋体"/>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xf>
    <xf numFmtId="0" fontId="0" fillId="0" borderId="0" xfId="0" applyAlignment="1">
      <alignment horizontal="center" vertical="center"/>
    </xf>
    <xf numFmtId="22" fontId="0" fillId="0" borderId="0" xfId="0" applyNumberFormat="1"/>
    <xf numFmtId="0" fontId="0" fillId="2" borderId="0" xfId="0" applyFill="1"/>
    <xf numFmtId="0" fontId="0" fillId="2" borderId="0" xfId="0" applyFill="1" applyAlignment="1">
      <alignment vertical="center" wrapText="1"/>
    </xf>
    <xf numFmtId="0" fontId="0" fillId="2" borderId="0" xfId="0" applyFill="1" applyAlignment="1">
      <alignment horizontal="center" vertical="center"/>
    </xf>
    <xf numFmtId="0" fontId="0" fillId="2" borderId="0" xfId="0" applyFill="1" applyAlignment="1">
      <alignment horizontal="center"/>
    </xf>
    <xf numFmtId="0" fontId="0" fillId="2" borderId="0" xfId="0" applyFill="1" applyAlignment="1">
      <alignment vertical="center"/>
    </xf>
    <xf numFmtId="0" fontId="0" fillId="0" borderId="0" xfId="0" applyAlignment="1">
      <alignment vertical="center"/>
    </xf>
    <xf numFmtId="0" fontId="2" fillId="0" borderId="0" xfId="0" applyFont="1" applyAlignment="1">
      <alignment horizontal="center"/>
    </xf>
    <xf numFmtId="0" fontId="3" fillId="2" borderId="0" xfId="0" applyFont="1" applyFill="1" applyAlignment="1">
      <alignment horizontal="left" vertical="center"/>
    </xf>
    <xf numFmtId="0" fontId="3" fillId="2" borderId="0" xfId="0" applyFont="1" applyFill="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4" fillId="0" borderId="0" xfId="0" applyFont="1" applyAlignment="1">
      <alignment horizontal="left"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455"/>
  <sheetViews>
    <sheetView topLeftCell="G67" zoomScale="114" workbookViewId="0">
      <selection activeCell="K119" sqref="A1:O455"/>
    </sheetView>
  </sheetViews>
  <sheetFormatPr baseColWidth="10" defaultRowHeight="15"/>
  <cols>
    <col min="2" max="2" width="21.83203125" customWidth="1"/>
    <col min="3" max="3" width="22.1640625" customWidth="1"/>
    <col min="4" max="4" width="23.5" customWidth="1"/>
    <col min="5" max="5" width="16" customWidth="1"/>
    <col min="6" max="6" width="33.83203125" customWidth="1"/>
    <col min="7" max="7" width="19.33203125" customWidth="1"/>
    <col min="8" max="8" width="37" style="11" customWidth="1"/>
    <col min="9" max="9" width="89.5" style="2" customWidth="1"/>
    <col min="10" max="10" width="15.5" style="4" hidden="1" customWidth="1"/>
    <col min="11" max="11" width="55.83203125" style="2" customWidth="1"/>
    <col min="12" max="12" width="16.6640625" style="2" customWidth="1"/>
    <col min="13" max="13" width="19.5" style="2" customWidth="1"/>
    <col min="14" max="14" width="8.1640625" style="3" customWidth="1"/>
  </cols>
  <sheetData>
    <row r="1" spans="1:15" s="6" customFormat="1" ht="16">
      <c r="A1" s="6" t="s">
        <v>0</v>
      </c>
      <c r="B1" s="6" t="s">
        <v>1</v>
      </c>
      <c r="C1" s="6" t="s">
        <v>2</v>
      </c>
      <c r="D1" s="6" t="s">
        <v>3</v>
      </c>
      <c r="E1" s="6" t="s">
        <v>4</v>
      </c>
      <c r="F1" s="6" t="s">
        <v>5</v>
      </c>
      <c r="G1" s="6" t="s">
        <v>6</v>
      </c>
      <c r="H1" s="10" t="s">
        <v>1836</v>
      </c>
      <c r="I1" s="7" t="s">
        <v>7</v>
      </c>
      <c r="J1" s="8" t="s">
        <v>8</v>
      </c>
      <c r="K1" s="7" t="s">
        <v>9</v>
      </c>
      <c r="L1" s="7" t="s">
        <v>1835</v>
      </c>
      <c r="M1" s="7" t="s">
        <v>10</v>
      </c>
      <c r="N1" s="9" t="s">
        <v>11</v>
      </c>
      <c r="O1" s="6" t="s">
        <v>12</v>
      </c>
    </row>
    <row r="2" spans="1:15" ht="16" hidden="1">
      <c r="A2" t="s">
        <v>13</v>
      </c>
      <c r="B2" t="s">
        <v>14</v>
      </c>
      <c r="C2" t="s">
        <v>15</v>
      </c>
      <c r="D2" t="s">
        <v>16</v>
      </c>
      <c r="E2" t="s">
        <v>17</v>
      </c>
      <c r="F2" t="s">
        <v>18</v>
      </c>
      <c r="G2" t="s">
        <v>19</v>
      </c>
      <c r="H2" t="s">
        <v>20</v>
      </c>
      <c r="I2" s="1" t="s">
        <v>21</v>
      </c>
      <c r="J2"/>
      <c r="K2"/>
      <c r="L2"/>
      <c r="M2"/>
      <c r="N2"/>
    </row>
    <row r="3" spans="1:15" ht="16" hidden="1">
      <c r="A3" t="s">
        <v>13</v>
      </c>
      <c r="B3" t="s">
        <v>22</v>
      </c>
      <c r="C3" t="s">
        <v>15</v>
      </c>
      <c r="D3" t="s">
        <v>16</v>
      </c>
      <c r="E3" t="s">
        <v>23</v>
      </c>
      <c r="F3" t="s">
        <v>24</v>
      </c>
      <c r="G3" t="s">
        <v>19</v>
      </c>
      <c r="H3" t="s">
        <v>25</v>
      </c>
      <c r="I3" s="1" t="s">
        <v>1050</v>
      </c>
      <c r="J3"/>
      <c r="K3"/>
      <c r="L3"/>
      <c r="M3"/>
      <c r="N3"/>
    </row>
    <row r="4" spans="1:15" ht="64" hidden="1">
      <c r="A4" t="s">
        <v>13</v>
      </c>
      <c r="B4" t="s">
        <v>27</v>
      </c>
      <c r="C4" t="s">
        <v>28</v>
      </c>
      <c r="D4" t="s">
        <v>29</v>
      </c>
      <c r="E4" t="s">
        <v>30</v>
      </c>
      <c r="F4" t="s">
        <v>31</v>
      </c>
      <c r="G4" t="s">
        <v>32</v>
      </c>
      <c r="H4" t="s">
        <v>33</v>
      </c>
      <c r="I4" s="1" t="s">
        <v>34</v>
      </c>
      <c r="J4"/>
      <c r="K4"/>
      <c r="L4"/>
      <c r="M4"/>
      <c r="N4"/>
    </row>
    <row r="5" spans="1:15" ht="96" hidden="1">
      <c r="A5" t="s">
        <v>13</v>
      </c>
      <c r="B5" t="s">
        <v>35</v>
      </c>
      <c r="C5" t="s">
        <v>28</v>
      </c>
      <c r="D5" t="s">
        <v>29</v>
      </c>
      <c r="E5" t="s">
        <v>36</v>
      </c>
      <c r="F5" t="s">
        <v>37</v>
      </c>
      <c r="G5" t="s">
        <v>32</v>
      </c>
      <c r="H5" s="11" t="s">
        <v>33</v>
      </c>
      <c r="I5" s="2" t="s">
        <v>38</v>
      </c>
      <c r="J5" s="4" t="s">
        <v>39</v>
      </c>
      <c r="K5" s="2" t="s">
        <v>40</v>
      </c>
      <c r="L5" s="2" t="str">
        <f>VLOOKUP(B5,Sheet2!F:Z,12)</f>
        <v>更换数据线</v>
      </c>
      <c r="M5" s="2" t="s">
        <v>41</v>
      </c>
    </row>
    <row r="6" spans="1:15" ht="64" hidden="1">
      <c r="A6" t="s">
        <v>13</v>
      </c>
      <c r="B6" t="s">
        <v>42</v>
      </c>
      <c r="C6" t="s">
        <v>43</v>
      </c>
      <c r="D6" t="s">
        <v>44</v>
      </c>
      <c r="E6" t="s">
        <v>45</v>
      </c>
      <c r="F6" t="s">
        <v>46</v>
      </c>
      <c r="G6" t="s">
        <v>19</v>
      </c>
      <c r="H6" t="s">
        <v>47</v>
      </c>
      <c r="I6" s="1" t="s">
        <v>48</v>
      </c>
      <c r="J6"/>
      <c r="K6"/>
      <c r="L6"/>
      <c r="M6"/>
      <c r="N6"/>
    </row>
    <row r="7" spans="1:15" ht="48" hidden="1">
      <c r="A7" t="s">
        <v>13</v>
      </c>
      <c r="B7" t="s">
        <v>49</v>
      </c>
      <c r="C7" t="s">
        <v>43</v>
      </c>
      <c r="D7" t="s">
        <v>44</v>
      </c>
      <c r="E7" t="s">
        <v>45</v>
      </c>
      <c r="F7" t="s">
        <v>50</v>
      </c>
      <c r="G7" t="s">
        <v>19</v>
      </c>
      <c r="H7" t="s">
        <v>51</v>
      </c>
      <c r="I7" s="1" t="s">
        <v>52</v>
      </c>
      <c r="J7"/>
      <c r="K7"/>
      <c r="L7"/>
      <c r="M7"/>
      <c r="N7"/>
    </row>
    <row r="8" spans="1:15" ht="64" hidden="1">
      <c r="A8" t="s">
        <v>13</v>
      </c>
      <c r="B8" t="s">
        <v>53</v>
      </c>
      <c r="C8" t="s">
        <v>43</v>
      </c>
      <c r="D8" t="s">
        <v>44</v>
      </c>
      <c r="E8" t="s">
        <v>54</v>
      </c>
      <c r="F8" t="s">
        <v>55</v>
      </c>
      <c r="G8" t="s">
        <v>19</v>
      </c>
      <c r="H8" t="s">
        <v>51</v>
      </c>
      <c r="I8" s="1" t="s">
        <v>56</v>
      </c>
      <c r="J8"/>
      <c r="K8"/>
      <c r="L8"/>
      <c r="M8"/>
      <c r="N8"/>
    </row>
    <row r="9" spans="1:15" ht="16" hidden="1">
      <c r="A9" t="s">
        <v>13</v>
      </c>
      <c r="B9" t="s">
        <v>57</v>
      </c>
      <c r="C9" t="s">
        <v>15</v>
      </c>
      <c r="D9" t="s">
        <v>16</v>
      </c>
      <c r="E9" t="s">
        <v>23</v>
      </c>
      <c r="F9" t="s">
        <v>58</v>
      </c>
      <c r="G9" t="s">
        <v>19</v>
      </c>
      <c r="H9" t="s">
        <v>25</v>
      </c>
      <c r="I9" s="1" t="s">
        <v>26</v>
      </c>
      <c r="J9"/>
      <c r="K9"/>
      <c r="L9"/>
      <c r="M9"/>
      <c r="N9"/>
    </row>
    <row r="10" spans="1:15" ht="64" hidden="1">
      <c r="A10" t="s">
        <v>13</v>
      </c>
      <c r="B10" t="s">
        <v>59</v>
      </c>
      <c r="C10" t="s">
        <v>28</v>
      </c>
      <c r="D10" t="s">
        <v>29</v>
      </c>
      <c r="E10" t="s">
        <v>60</v>
      </c>
      <c r="F10" t="s">
        <v>61</v>
      </c>
      <c r="G10" t="s">
        <v>62</v>
      </c>
      <c r="H10" t="s">
        <v>63</v>
      </c>
      <c r="I10" s="1" t="s">
        <v>1051</v>
      </c>
      <c r="J10"/>
      <c r="K10"/>
      <c r="L10"/>
      <c r="M10"/>
      <c r="N10"/>
    </row>
    <row r="11" spans="1:15" ht="48" hidden="1">
      <c r="A11" t="s">
        <v>13</v>
      </c>
      <c r="B11" t="s">
        <v>65</v>
      </c>
      <c r="C11" t="s">
        <v>43</v>
      </c>
      <c r="D11" t="s">
        <v>44</v>
      </c>
      <c r="E11" t="s">
        <v>54</v>
      </c>
      <c r="F11" t="s">
        <v>66</v>
      </c>
      <c r="G11" t="s">
        <v>32</v>
      </c>
      <c r="H11" t="s">
        <v>67</v>
      </c>
      <c r="I11" s="1" t="s">
        <v>68</v>
      </c>
      <c r="J11"/>
      <c r="K11"/>
      <c r="L11"/>
      <c r="M11"/>
      <c r="N11"/>
    </row>
    <row r="12" spans="1:15" ht="64" hidden="1">
      <c r="A12" t="s">
        <v>13</v>
      </c>
      <c r="B12" t="s">
        <v>69</v>
      </c>
      <c r="C12" t="s">
        <v>28</v>
      </c>
      <c r="D12" t="s">
        <v>29</v>
      </c>
      <c r="E12" t="s">
        <v>70</v>
      </c>
      <c r="F12" t="s">
        <v>71</v>
      </c>
      <c r="G12" t="s">
        <v>32</v>
      </c>
      <c r="H12" t="s">
        <v>33</v>
      </c>
      <c r="I12" s="1" t="s">
        <v>72</v>
      </c>
      <c r="J12"/>
      <c r="K12"/>
      <c r="L12"/>
      <c r="M12"/>
      <c r="N12"/>
    </row>
    <row r="13" spans="1:15" ht="64" hidden="1">
      <c r="A13" t="s">
        <v>13</v>
      </c>
      <c r="B13" t="s">
        <v>73</v>
      </c>
      <c r="C13" t="s">
        <v>28</v>
      </c>
      <c r="D13" t="s">
        <v>29</v>
      </c>
      <c r="E13" t="s">
        <v>70</v>
      </c>
      <c r="F13" t="s">
        <v>74</v>
      </c>
      <c r="G13" t="s">
        <v>62</v>
      </c>
      <c r="H13" t="s">
        <v>33</v>
      </c>
      <c r="I13" s="1" t="s">
        <v>75</v>
      </c>
      <c r="J13"/>
      <c r="K13"/>
      <c r="L13"/>
      <c r="M13"/>
      <c r="N13"/>
    </row>
    <row r="14" spans="1:15" ht="48" hidden="1">
      <c r="A14" t="s">
        <v>13</v>
      </c>
      <c r="B14" t="s">
        <v>76</v>
      </c>
      <c r="C14" t="s">
        <v>28</v>
      </c>
      <c r="D14" t="s">
        <v>29</v>
      </c>
      <c r="E14" t="s">
        <v>77</v>
      </c>
      <c r="F14" t="s">
        <v>78</v>
      </c>
      <c r="G14" t="s">
        <v>32</v>
      </c>
      <c r="H14" t="s">
        <v>33</v>
      </c>
      <c r="I14" s="1" t="s">
        <v>79</v>
      </c>
      <c r="J14"/>
      <c r="K14"/>
      <c r="L14"/>
      <c r="M14"/>
      <c r="N14"/>
    </row>
    <row r="15" spans="1:15" ht="16" hidden="1">
      <c r="A15" t="s">
        <v>13</v>
      </c>
      <c r="B15" t="s">
        <v>14</v>
      </c>
      <c r="C15" t="s">
        <v>15</v>
      </c>
      <c r="D15" t="s">
        <v>16</v>
      </c>
      <c r="E15" t="s">
        <v>17</v>
      </c>
      <c r="F15" t="s">
        <v>80</v>
      </c>
      <c r="G15" t="s">
        <v>19</v>
      </c>
      <c r="H15" t="s">
        <v>81</v>
      </c>
      <c r="I15" s="1" t="s">
        <v>21</v>
      </c>
      <c r="J15"/>
      <c r="K15"/>
      <c r="L15"/>
      <c r="M15"/>
      <c r="N15"/>
    </row>
    <row r="16" spans="1:15" ht="96" hidden="1">
      <c r="A16" t="s">
        <v>13</v>
      </c>
      <c r="B16" t="s">
        <v>82</v>
      </c>
      <c r="C16" t="s">
        <v>28</v>
      </c>
      <c r="D16" t="s">
        <v>29</v>
      </c>
      <c r="E16" t="s">
        <v>83</v>
      </c>
      <c r="F16" t="s">
        <v>84</v>
      </c>
      <c r="G16" t="s">
        <v>19</v>
      </c>
      <c r="H16" s="11" t="s">
        <v>1833</v>
      </c>
      <c r="I16" s="2" t="s">
        <v>1837</v>
      </c>
      <c r="J16" s="4" t="s">
        <v>39</v>
      </c>
      <c r="K16" s="2" t="s">
        <v>87</v>
      </c>
      <c r="L16" s="2" t="str">
        <f>VLOOKUP(B16,Sheet2!F:Z,12,0)</f>
        <v>重插数据线</v>
      </c>
      <c r="M16" s="2" t="s">
        <v>41</v>
      </c>
    </row>
    <row r="17" spans="1:14" ht="16" hidden="1">
      <c r="A17" t="s">
        <v>13</v>
      </c>
      <c r="B17" t="s">
        <v>88</v>
      </c>
      <c r="C17" t="s">
        <v>43</v>
      </c>
      <c r="E17" t="s">
        <v>77</v>
      </c>
      <c r="F17" t="s">
        <v>89</v>
      </c>
      <c r="G17" t="s">
        <v>62</v>
      </c>
      <c r="H17" t="s">
        <v>90</v>
      </c>
      <c r="I17" s="1" t="s">
        <v>91</v>
      </c>
      <c r="J17"/>
      <c r="K17"/>
      <c r="L17"/>
      <c r="M17"/>
      <c r="N17"/>
    </row>
    <row r="18" spans="1:14" ht="16" hidden="1">
      <c r="A18" t="s">
        <v>13</v>
      </c>
      <c r="B18" t="s">
        <v>92</v>
      </c>
      <c r="C18" t="s">
        <v>43</v>
      </c>
      <c r="E18" t="s">
        <v>77</v>
      </c>
      <c r="F18" t="s">
        <v>89</v>
      </c>
      <c r="G18" t="s">
        <v>62</v>
      </c>
      <c r="H18" t="s">
        <v>90</v>
      </c>
      <c r="I18" s="1" t="s">
        <v>91</v>
      </c>
      <c r="J18"/>
      <c r="K18"/>
      <c r="L18"/>
      <c r="M18"/>
      <c r="N18"/>
    </row>
    <row r="19" spans="1:14" ht="32" hidden="1">
      <c r="A19" t="s">
        <v>13</v>
      </c>
      <c r="B19" t="s">
        <v>93</v>
      </c>
      <c r="C19" t="s">
        <v>15</v>
      </c>
      <c r="D19" t="s">
        <v>16</v>
      </c>
      <c r="E19" t="s">
        <v>94</v>
      </c>
      <c r="F19" t="s">
        <v>95</v>
      </c>
      <c r="G19" t="s">
        <v>19</v>
      </c>
      <c r="H19" s="11" t="s">
        <v>96</v>
      </c>
      <c r="I19" s="2" t="s">
        <v>1838</v>
      </c>
      <c r="J19" s="4" t="s">
        <v>39</v>
      </c>
      <c r="K19" s="2" t="s">
        <v>98</v>
      </c>
      <c r="L19" s="2" t="str">
        <f>VLOOKUP(B19,Sheet2!F:Z,12,0)</f>
        <v>更换内存</v>
      </c>
      <c r="M19" s="2" t="s">
        <v>99</v>
      </c>
    </row>
    <row r="20" spans="1:14" ht="16" hidden="1">
      <c r="A20" t="s">
        <v>13</v>
      </c>
      <c r="B20" t="s">
        <v>100</v>
      </c>
      <c r="C20" t="s">
        <v>43</v>
      </c>
      <c r="D20" t="s">
        <v>44</v>
      </c>
      <c r="E20" t="s">
        <v>54</v>
      </c>
      <c r="F20" t="s">
        <v>101</v>
      </c>
      <c r="G20" t="s">
        <v>19</v>
      </c>
      <c r="H20" t="s">
        <v>102</v>
      </c>
      <c r="I20" s="1" t="s">
        <v>103</v>
      </c>
      <c r="J20"/>
      <c r="K20"/>
      <c r="L20"/>
      <c r="M20"/>
      <c r="N20"/>
    </row>
    <row r="21" spans="1:14" ht="64" hidden="1">
      <c r="A21" t="s">
        <v>13</v>
      </c>
      <c r="B21" t="s">
        <v>104</v>
      </c>
      <c r="C21" t="s">
        <v>43</v>
      </c>
      <c r="E21" t="s">
        <v>77</v>
      </c>
      <c r="F21" t="s">
        <v>105</v>
      </c>
      <c r="G21" t="s">
        <v>62</v>
      </c>
      <c r="H21" t="s">
        <v>90</v>
      </c>
      <c r="I21" s="1" t="s">
        <v>106</v>
      </c>
      <c r="J21"/>
      <c r="K21"/>
      <c r="L21"/>
      <c r="M21"/>
      <c r="N21"/>
    </row>
    <row r="22" spans="1:14" ht="64" hidden="1">
      <c r="A22" t="s">
        <v>13</v>
      </c>
      <c r="B22" t="s">
        <v>107</v>
      </c>
      <c r="C22" t="s">
        <v>28</v>
      </c>
      <c r="D22" t="s">
        <v>29</v>
      </c>
      <c r="E22" t="s">
        <v>83</v>
      </c>
      <c r="F22" t="s">
        <v>108</v>
      </c>
      <c r="G22" t="s">
        <v>62</v>
      </c>
      <c r="H22" t="s">
        <v>109</v>
      </c>
      <c r="I22" s="1" t="s">
        <v>110</v>
      </c>
      <c r="J22"/>
      <c r="K22"/>
      <c r="L22"/>
      <c r="M22"/>
      <c r="N22"/>
    </row>
    <row r="23" spans="1:14" ht="16" hidden="1">
      <c r="A23" t="s">
        <v>13</v>
      </c>
      <c r="B23" t="s">
        <v>111</v>
      </c>
      <c r="C23" t="s">
        <v>15</v>
      </c>
      <c r="D23" t="s">
        <v>16</v>
      </c>
      <c r="E23" t="s">
        <v>23</v>
      </c>
      <c r="F23" t="s">
        <v>112</v>
      </c>
      <c r="G23" t="s">
        <v>113</v>
      </c>
      <c r="H23" t="s">
        <v>114</v>
      </c>
      <c r="I23" s="1" t="s">
        <v>115</v>
      </c>
      <c r="J23"/>
      <c r="K23"/>
      <c r="L23"/>
      <c r="M23"/>
      <c r="N23"/>
    </row>
    <row r="24" spans="1:14" ht="16" hidden="1">
      <c r="A24" t="s">
        <v>13</v>
      </c>
      <c r="B24" t="s">
        <v>116</v>
      </c>
      <c r="C24" t="s">
        <v>15</v>
      </c>
      <c r="D24" t="s">
        <v>16</v>
      </c>
      <c r="E24" t="s">
        <v>117</v>
      </c>
      <c r="F24" t="s">
        <v>118</v>
      </c>
      <c r="G24" t="s">
        <v>113</v>
      </c>
      <c r="H24" t="s">
        <v>119</v>
      </c>
      <c r="I24" s="1" t="s">
        <v>120</v>
      </c>
      <c r="J24"/>
      <c r="K24"/>
      <c r="L24"/>
      <c r="M24"/>
      <c r="N24"/>
    </row>
    <row r="25" spans="1:14" ht="48" hidden="1">
      <c r="A25" t="s">
        <v>13</v>
      </c>
      <c r="B25" t="s">
        <v>121</v>
      </c>
      <c r="C25" t="s">
        <v>122</v>
      </c>
      <c r="D25" t="s">
        <v>123</v>
      </c>
      <c r="E25" t="s">
        <v>124</v>
      </c>
      <c r="F25" t="s">
        <v>125</v>
      </c>
      <c r="G25" t="s">
        <v>19</v>
      </c>
      <c r="H25" t="s">
        <v>51</v>
      </c>
      <c r="I25" s="1" t="s">
        <v>126</v>
      </c>
      <c r="J25"/>
      <c r="K25"/>
      <c r="L25"/>
      <c r="M25"/>
      <c r="N25"/>
    </row>
    <row r="26" spans="1:14" ht="64" hidden="1">
      <c r="A26" t="s">
        <v>13</v>
      </c>
      <c r="B26" t="s">
        <v>69</v>
      </c>
      <c r="C26" t="s">
        <v>28</v>
      </c>
      <c r="D26" t="s">
        <v>29</v>
      </c>
      <c r="E26" t="s">
        <v>70</v>
      </c>
      <c r="F26" t="s">
        <v>127</v>
      </c>
      <c r="G26" t="s">
        <v>32</v>
      </c>
      <c r="H26" t="s">
        <v>33</v>
      </c>
      <c r="I26" s="1" t="s">
        <v>72</v>
      </c>
      <c r="J26"/>
      <c r="K26"/>
      <c r="L26"/>
      <c r="M26"/>
      <c r="N26"/>
    </row>
    <row r="27" spans="1:14" ht="16" hidden="1">
      <c r="A27" t="s">
        <v>13</v>
      </c>
      <c r="B27" t="s">
        <v>128</v>
      </c>
      <c r="C27" t="s">
        <v>43</v>
      </c>
      <c r="E27" t="s">
        <v>129</v>
      </c>
      <c r="F27" t="s">
        <v>130</v>
      </c>
      <c r="G27" t="s">
        <v>62</v>
      </c>
      <c r="H27" t="s">
        <v>90</v>
      </c>
      <c r="I27" s="1" t="s">
        <v>91</v>
      </c>
      <c r="J27"/>
      <c r="K27"/>
      <c r="L27"/>
      <c r="M27"/>
      <c r="N27"/>
    </row>
    <row r="28" spans="1:14" ht="16" hidden="1">
      <c r="A28" t="s">
        <v>13</v>
      </c>
      <c r="B28" t="s">
        <v>131</v>
      </c>
      <c r="C28" t="s">
        <v>28</v>
      </c>
      <c r="D28" t="s">
        <v>29</v>
      </c>
      <c r="E28" t="s">
        <v>132</v>
      </c>
      <c r="F28" t="s">
        <v>133</v>
      </c>
      <c r="G28" t="s">
        <v>19</v>
      </c>
      <c r="H28" t="s">
        <v>109</v>
      </c>
      <c r="I28" s="1" t="s">
        <v>134</v>
      </c>
      <c r="J28"/>
      <c r="K28"/>
      <c r="L28"/>
      <c r="M28"/>
      <c r="N28"/>
    </row>
    <row r="29" spans="1:14" ht="64" hidden="1">
      <c r="A29" t="s">
        <v>13</v>
      </c>
      <c r="B29" t="s">
        <v>135</v>
      </c>
      <c r="C29" t="s">
        <v>28</v>
      </c>
      <c r="D29" t="s">
        <v>29</v>
      </c>
      <c r="E29" t="s">
        <v>132</v>
      </c>
      <c r="F29" t="s">
        <v>136</v>
      </c>
      <c r="G29" t="s">
        <v>19</v>
      </c>
      <c r="H29" t="s">
        <v>137</v>
      </c>
      <c r="I29" s="1" t="s">
        <v>138</v>
      </c>
      <c r="J29"/>
      <c r="K29"/>
      <c r="L29"/>
      <c r="M29"/>
      <c r="N29"/>
    </row>
    <row r="30" spans="1:14" ht="64" hidden="1">
      <c r="A30" t="s">
        <v>13</v>
      </c>
      <c r="B30" t="s">
        <v>139</v>
      </c>
      <c r="C30" t="s">
        <v>28</v>
      </c>
      <c r="D30" t="s">
        <v>29</v>
      </c>
      <c r="E30" t="s">
        <v>70</v>
      </c>
      <c r="F30" t="s">
        <v>140</v>
      </c>
      <c r="G30" t="s">
        <v>19</v>
      </c>
      <c r="H30" t="s">
        <v>141</v>
      </c>
      <c r="I30" s="1" t="s">
        <v>142</v>
      </c>
      <c r="J30"/>
      <c r="K30"/>
      <c r="L30"/>
      <c r="M30"/>
      <c r="N30"/>
    </row>
    <row r="31" spans="1:14" ht="64" hidden="1">
      <c r="A31" t="s">
        <v>13</v>
      </c>
      <c r="B31" t="s">
        <v>143</v>
      </c>
      <c r="C31" t="s">
        <v>28</v>
      </c>
      <c r="D31" t="s">
        <v>29</v>
      </c>
      <c r="E31" t="s">
        <v>70</v>
      </c>
      <c r="F31" t="s">
        <v>144</v>
      </c>
      <c r="G31" t="s">
        <v>19</v>
      </c>
      <c r="H31" t="s">
        <v>145</v>
      </c>
      <c r="I31" s="1" t="s">
        <v>146</v>
      </c>
      <c r="J31"/>
      <c r="K31"/>
      <c r="L31"/>
      <c r="M31"/>
      <c r="N31"/>
    </row>
    <row r="32" spans="1:14" ht="32" hidden="1">
      <c r="A32" t="s">
        <v>13</v>
      </c>
      <c r="B32" t="s">
        <v>147</v>
      </c>
      <c r="C32" t="s">
        <v>148</v>
      </c>
      <c r="D32" t="s">
        <v>149</v>
      </c>
      <c r="E32" t="s">
        <v>150</v>
      </c>
      <c r="F32" t="s">
        <v>151</v>
      </c>
      <c r="G32" t="s">
        <v>32</v>
      </c>
      <c r="H32" t="s">
        <v>152</v>
      </c>
      <c r="I32" s="1" t="s">
        <v>153</v>
      </c>
      <c r="J32"/>
      <c r="K32"/>
      <c r="L32"/>
      <c r="M32"/>
      <c r="N32"/>
    </row>
    <row r="33" spans="1:14" ht="32" hidden="1">
      <c r="A33" t="s">
        <v>13</v>
      </c>
      <c r="B33" t="s">
        <v>154</v>
      </c>
      <c r="C33" t="s">
        <v>148</v>
      </c>
      <c r="D33" t="s">
        <v>149</v>
      </c>
      <c r="E33" t="s">
        <v>150</v>
      </c>
      <c r="F33" t="s">
        <v>155</v>
      </c>
      <c r="G33" t="s">
        <v>32</v>
      </c>
      <c r="H33" t="s">
        <v>152</v>
      </c>
      <c r="I33" s="1" t="s">
        <v>153</v>
      </c>
      <c r="J33"/>
      <c r="K33"/>
      <c r="L33"/>
      <c r="M33"/>
      <c r="N33"/>
    </row>
    <row r="34" spans="1:14" ht="32" hidden="1">
      <c r="A34" t="s">
        <v>13</v>
      </c>
      <c r="B34" t="s">
        <v>156</v>
      </c>
      <c r="C34" t="s">
        <v>148</v>
      </c>
      <c r="D34" t="s">
        <v>149</v>
      </c>
      <c r="E34" t="s">
        <v>150</v>
      </c>
      <c r="F34" t="s">
        <v>157</v>
      </c>
      <c r="G34" t="s">
        <v>32</v>
      </c>
      <c r="H34" t="s">
        <v>152</v>
      </c>
      <c r="I34" s="1" t="s">
        <v>153</v>
      </c>
      <c r="J34"/>
      <c r="K34"/>
      <c r="L34"/>
      <c r="M34"/>
      <c r="N34"/>
    </row>
    <row r="35" spans="1:14" ht="32" hidden="1">
      <c r="A35" t="s">
        <v>13</v>
      </c>
      <c r="B35" t="s">
        <v>158</v>
      </c>
      <c r="C35" t="s">
        <v>148</v>
      </c>
      <c r="D35" t="s">
        <v>149</v>
      </c>
      <c r="E35" t="s">
        <v>150</v>
      </c>
      <c r="F35" t="s">
        <v>159</v>
      </c>
      <c r="G35" t="s">
        <v>32</v>
      </c>
      <c r="H35" t="s">
        <v>152</v>
      </c>
      <c r="I35" s="1" t="s">
        <v>153</v>
      </c>
      <c r="J35"/>
      <c r="K35"/>
      <c r="L35"/>
      <c r="M35"/>
      <c r="N35"/>
    </row>
    <row r="36" spans="1:14" ht="32" hidden="1">
      <c r="A36" t="s">
        <v>13</v>
      </c>
      <c r="B36" t="s">
        <v>160</v>
      </c>
      <c r="C36" t="s">
        <v>148</v>
      </c>
      <c r="D36" t="s">
        <v>149</v>
      </c>
      <c r="E36" t="s">
        <v>150</v>
      </c>
      <c r="F36" t="s">
        <v>161</v>
      </c>
      <c r="G36" t="s">
        <v>32</v>
      </c>
      <c r="H36" t="s">
        <v>152</v>
      </c>
      <c r="I36" s="1" t="s">
        <v>153</v>
      </c>
      <c r="J36"/>
      <c r="K36"/>
      <c r="L36"/>
      <c r="M36"/>
      <c r="N36"/>
    </row>
    <row r="37" spans="1:14" ht="32" hidden="1">
      <c r="A37" t="s">
        <v>13</v>
      </c>
      <c r="B37" t="s">
        <v>162</v>
      </c>
      <c r="C37" t="s">
        <v>148</v>
      </c>
      <c r="D37" t="s">
        <v>149</v>
      </c>
      <c r="E37" t="s">
        <v>150</v>
      </c>
      <c r="F37" t="s">
        <v>163</v>
      </c>
      <c r="G37" t="s">
        <v>32</v>
      </c>
      <c r="H37" t="s">
        <v>152</v>
      </c>
      <c r="I37" s="1" t="s">
        <v>153</v>
      </c>
      <c r="J37"/>
      <c r="K37"/>
      <c r="L37"/>
      <c r="M37"/>
      <c r="N37"/>
    </row>
    <row r="38" spans="1:14" ht="16" hidden="1">
      <c r="A38" t="s">
        <v>13</v>
      </c>
      <c r="B38" t="s">
        <v>164</v>
      </c>
      <c r="C38" t="s">
        <v>43</v>
      </c>
      <c r="E38" t="s">
        <v>36</v>
      </c>
      <c r="F38" t="s">
        <v>165</v>
      </c>
      <c r="G38" t="s">
        <v>32</v>
      </c>
      <c r="H38" t="s">
        <v>90</v>
      </c>
      <c r="I38" s="1" t="s">
        <v>91</v>
      </c>
      <c r="J38"/>
      <c r="K38"/>
      <c r="L38"/>
      <c r="M38"/>
      <c r="N38"/>
    </row>
    <row r="39" spans="1:14" ht="16" hidden="1">
      <c r="A39" t="s">
        <v>13</v>
      </c>
      <c r="B39" t="s">
        <v>166</v>
      </c>
      <c r="C39" t="s">
        <v>43</v>
      </c>
      <c r="D39" t="s">
        <v>44</v>
      </c>
      <c r="E39" t="s">
        <v>167</v>
      </c>
      <c r="F39" t="s">
        <v>168</v>
      </c>
      <c r="G39" t="s">
        <v>19</v>
      </c>
      <c r="H39" t="s">
        <v>169</v>
      </c>
      <c r="I39" s="1" t="s">
        <v>170</v>
      </c>
      <c r="J39"/>
      <c r="K39"/>
      <c r="L39"/>
      <c r="M39"/>
      <c r="N39"/>
    </row>
    <row r="40" spans="1:14" ht="16" hidden="1">
      <c r="A40" t="s">
        <v>13</v>
      </c>
      <c r="B40" t="s">
        <v>171</v>
      </c>
      <c r="C40" t="s">
        <v>43</v>
      </c>
      <c r="E40" t="s">
        <v>60</v>
      </c>
      <c r="F40" t="s">
        <v>172</v>
      </c>
      <c r="G40" t="s">
        <v>62</v>
      </c>
      <c r="H40" t="s">
        <v>90</v>
      </c>
      <c r="I40" s="1" t="s">
        <v>91</v>
      </c>
      <c r="J40"/>
      <c r="K40"/>
      <c r="L40"/>
      <c r="M40"/>
      <c r="N40"/>
    </row>
    <row r="41" spans="1:14" ht="96">
      <c r="A41" t="s">
        <v>13</v>
      </c>
      <c r="B41" t="s">
        <v>82</v>
      </c>
      <c r="C41" t="s">
        <v>28</v>
      </c>
      <c r="D41" t="s">
        <v>29</v>
      </c>
      <c r="E41" t="s">
        <v>83</v>
      </c>
      <c r="F41" t="s">
        <v>173</v>
      </c>
      <c r="G41" t="s">
        <v>19</v>
      </c>
      <c r="H41" s="11" t="s">
        <v>85</v>
      </c>
      <c r="I41" s="2" t="s">
        <v>1839</v>
      </c>
      <c r="J41" s="4" t="s">
        <v>39</v>
      </c>
      <c r="K41" s="2" t="s">
        <v>87</v>
      </c>
      <c r="L41" s="2" t="str">
        <f>VLOOKUP(B41,Sheet2!F:Z,12,0)</f>
        <v>重插数据线</v>
      </c>
      <c r="M41" s="2" t="s">
        <v>41</v>
      </c>
      <c r="N41" s="3">
        <v>0</v>
      </c>
    </row>
    <row r="42" spans="1:14" ht="32" hidden="1">
      <c r="A42" t="s">
        <v>13</v>
      </c>
      <c r="B42" t="s">
        <v>174</v>
      </c>
      <c r="C42" t="s">
        <v>148</v>
      </c>
      <c r="D42" t="s">
        <v>149</v>
      </c>
      <c r="E42" t="s">
        <v>150</v>
      </c>
      <c r="F42" t="s">
        <v>175</v>
      </c>
      <c r="G42" t="s">
        <v>32</v>
      </c>
      <c r="H42" t="s">
        <v>152</v>
      </c>
      <c r="I42" s="1" t="s">
        <v>153</v>
      </c>
      <c r="J42"/>
      <c r="K42"/>
      <c r="L42"/>
      <c r="M42"/>
      <c r="N42"/>
    </row>
    <row r="43" spans="1:14" ht="32" hidden="1">
      <c r="A43" t="s">
        <v>13</v>
      </c>
      <c r="B43" t="s">
        <v>176</v>
      </c>
      <c r="C43" t="s">
        <v>148</v>
      </c>
      <c r="D43" t="s">
        <v>149</v>
      </c>
      <c r="E43" t="s">
        <v>150</v>
      </c>
      <c r="F43" t="s">
        <v>177</v>
      </c>
      <c r="G43" t="s">
        <v>32</v>
      </c>
      <c r="H43" t="s">
        <v>152</v>
      </c>
      <c r="I43" s="1" t="s">
        <v>153</v>
      </c>
      <c r="J43"/>
      <c r="K43"/>
      <c r="L43"/>
      <c r="M43"/>
      <c r="N43"/>
    </row>
    <row r="44" spans="1:14" ht="64" hidden="1">
      <c r="A44" t="s">
        <v>13</v>
      </c>
      <c r="B44" t="s">
        <v>178</v>
      </c>
      <c r="C44" t="s">
        <v>43</v>
      </c>
      <c r="D44" t="s">
        <v>44</v>
      </c>
      <c r="E44" t="s">
        <v>179</v>
      </c>
      <c r="F44" t="s">
        <v>180</v>
      </c>
      <c r="G44" t="s">
        <v>62</v>
      </c>
      <c r="H44" t="s">
        <v>152</v>
      </c>
      <c r="I44" s="1" t="s">
        <v>181</v>
      </c>
      <c r="J44"/>
      <c r="K44"/>
      <c r="L44"/>
      <c r="M44"/>
      <c r="N44"/>
    </row>
    <row r="45" spans="1:14" ht="64" hidden="1">
      <c r="A45" t="s">
        <v>13</v>
      </c>
      <c r="B45" t="s">
        <v>182</v>
      </c>
      <c r="C45" t="s">
        <v>43</v>
      </c>
      <c r="D45" t="s">
        <v>44</v>
      </c>
      <c r="E45" t="s">
        <v>183</v>
      </c>
      <c r="F45" t="s">
        <v>184</v>
      </c>
      <c r="G45" t="s">
        <v>62</v>
      </c>
      <c r="H45" t="s">
        <v>152</v>
      </c>
      <c r="I45" s="1" t="s">
        <v>185</v>
      </c>
      <c r="J45"/>
      <c r="K45"/>
      <c r="L45"/>
      <c r="M45"/>
      <c r="N45"/>
    </row>
    <row r="46" spans="1:14" ht="16" hidden="1">
      <c r="A46" t="s">
        <v>13</v>
      </c>
      <c r="B46" t="s">
        <v>186</v>
      </c>
      <c r="C46" t="s">
        <v>15</v>
      </c>
      <c r="D46" t="s">
        <v>16</v>
      </c>
      <c r="E46" t="s">
        <v>187</v>
      </c>
      <c r="F46" t="s">
        <v>188</v>
      </c>
      <c r="G46" t="s">
        <v>32</v>
      </c>
      <c r="H46" t="s">
        <v>189</v>
      </c>
      <c r="I46" s="1" t="s">
        <v>21</v>
      </c>
      <c r="J46"/>
      <c r="K46"/>
      <c r="L46"/>
      <c r="M46"/>
      <c r="N46"/>
    </row>
    <row r="47" spans="1:14" ht="16" hidden="1">
      <c r="A47" t="s">
        <v>13</v>
      </c>
      <c r="B47" t="s">
        <v>190</v>
      </c>
      <c r="C47" t="s">
        <v>15</v>
      </c>
      <c r="D47" t="s">
        <v>16</v>
      </c>
      <c r="E47" t="s">
        <v>17</v>
      </c>
      <c r="F47" t="s">
        <v>191</v>
      </c>
      <c r="G47" t="s">
        <v>32</v>
      </c>
      <c r="H47" t="s">
        <v>192</v>
      </c>
      <c r="I47" s="1" t="s">
        <v>193</v>
      </c>
      <c r="J47"/>
      <c r="K47"/>
      <c r="L47"/>
      <c r="M47"/>
      <c r="N47"/>
    </row>
    <row r="48" spans="1:14" ht="16" hidden="1">
      <c r="A48" t="s">
        <v>13</v>
      </c>
      <c r="B48" t="s">
        <v>194</v>
      </c>
      <c r="C48" t="s">
        <v>148</v>
      </c>
      <c r="D48" t="s">
        <v>149</v>
      </c>
      <c r="E48" t="s">
        <v>195</v>
      </c>
      <c r="F48" t="s">
        <v>196</v>
      </c>
      <c r="G48" t="s">
        <v>19</v>
      </c>
      <c r="H48" t="s">
        <v>197</v>
      </c>
      <c r="I48" s="1" t="s">
        <v>198</v>
      </c>
      <c r="J48"/>
      <c r="K48"/>
      <c r="L48"/>
      <c r="M48"/>
      <c r="N48"/>
    </row>
    <row r="49" spans="1:14" ht="16" hidden="1">
      <c r="A49" t="s">
        <v>13</v>
      </c>
      <c r="B49" t="s">
        <v>199</v>
      </c>
      <c r="C49" t="s">
        <v>148</v>
      </c>
      <c r="D49" t="s">
        <v>149</v>
      </c>
      <c r="E49" t="s">
        <v>150</v>
      </c>
      <c r="F49" t="s">
        <v>200</v>
      </c>
      <c r="G49" t="s">
        <v>19</v>
      </c>
      <c r="H49" t="s">
        <v>197</v>
      </c>
      <c r="I49" s="1" t="s">
        <v>198</v>
      </c>
      <c r="J49"/>
      <c r="K49"/>
      <c r="L49"/>
      <c r="M49"/>
      <c r="N49"/>
    </row>
    <row r="50" spans="1:14" ht="16" hidden="1">
      <c r="A50" t="s">
        <v>13</v>
      </c>
      <c r="B50" t="s">
        <v>201</v>
      </c>
      <c r="C50" t="s">
        <v>15</v>
      </c>
      <c r="D50" t="s">
        <v>16</v>
      </c>
      <c r="E50" t="s">
        <v>23</v>
      </c>
      <c r="F50" t="s">
        <v>202</v>
      </c>
      <c r="G50" t="s">
        <v>19</v>
      </c>
      <c r="H50" t="s">
        <v>203</v>
      </c>
      <c r="I50" s="1" t="s">
        <v>21</v>
      </c>
      <c r="J50"/>
      <c r="K50"/>
      <c r="L50"/>
      <c r="M50"/>
      <c r="N50"/>
    </row>
    <row r="51" spans="1:14" ht="64" hidden="1">
      <c r="A51" t="s">
        <v>13</v>
      </c>
      <c r="B51" t="s">
        <v>204</v>
      </c>
      <c r="C51" t="s">
        <v>43</v>
      </c>
      <c r="D51" t="s">
        <v>44</v>
      </c>
      <c r="E51" t="s">
        <v>45</v>
      </c>
      <c r="F51" t="s">
        <v>205</v>
      </c>
      <c r="G51" t="s">
        <v>19</v>
      </c>
      <c r="H51" t="s">
        <v>51</v>
      </c>
      <c r="I51" s="1" t="s">
        <v>206</v>
      </c>
      <c r="J51"/>
      <c r="K51"/>
      <c r="L51"/>
      <c r="M51"/>
      <c r="N51"/>
    </row>
    <row r="52" spans="1:14" ht="64" hidden="1">
      <c r="A52" t="s">
        <v>13</v>
      </c>
      <c r="B52" t="s">
        <v>207</v>
      </c>
      <c r="C52" t="s">
        <v>148</v>
      </c>
      <c r="D52" t="s">
        <v>149</v>
      </c>
      <c r="E52" t="s">
        <v>208</v>
      </c>
      <c r="F52" t="s">
        <v>209</v>
      </c>
      <c r="G52" t="s">
        <v>62</v>
      </c>
      <c r="H52" t="s">
        <v>197</v>
      </c>
      <c r="I52" s="1" t="s">
        <v>210</v>
      </c>
      <c r="J52"/>
      <c r="K52"/>
      <c r="L52"/>
      <c r="M52"/>
      <c r="N52"/>
    </row>
    <row r="53" spans="1:14" ht="32" hidden="1">
      <c r="A53" t="s">
        <v>13</v>
      </c>
      <c r="B53" t="s">
        <v>93</v>
      </c>
      <c r="C53" t="s">
        <v>15</v>
      </c>
      <c r="D53" t="s">
        <v>16</v>
      </c>
      <c r="E53" t="s">
        <v>94</v>
      </c>
      <c r="F53" t="s">
        <v>211</v>
      </c>
      <c r="G53" t="s">
        <v>19</v>
      </c>
      <c r="H53" s="11" t="s">
        <v>96</v>
      </c>
      <c r="I53" s="2" t="s">
        <v>97</v>
      </c>
      <c r="J53" s="4" t="s">
        <v>39</v>
      </c>
      <c r="K53" s="2" t="s">
        <v>98</v>
      </c>
      <c r="L53" s="2" t="str">
        <f>VLOOKUP(B53,Sheet2!F:Z,12,0)</f>
        <v>更换内存</v>
      </c>
      <c r="M53" s="2" t="s">
        <v>99</v>
      </c>
    </row>
    <row r="54" spans="1:14" ht="48" hidden="1">
      <c r="A54" t="s">
        <v>13</v>
      </c>
      <c r="B54" t="s">
        <v>212</v>
      </c>
      <c r="C54" t="s">
        <v>28</v>
      </c>
      <c r="D54" t="s">
        <v>29</v>
      </c>
      <c r="E54" t="s">
        <v>132</v>
      </c>
      <c r="F54" t="s">
        <v>213</v>
      </c>
      <c r="G54" t="s">
        <v>19</v>
      </c>
      <c r="H54" t="s">
        <v>214</v>
      </c>
      <c r="I54" s="1" t="s">
        <v>215</v>
      </c>
      <c r="J54"/>
      <c r="K54"/>
      <c r="L54"/>
      <c r="M54"/>
      <c r="N54"/>
    </row>
    <row r="55" spans="1:14" ht="64" hidden="1">
      <c r="A55" t="s">
        <v>13</v>
      </c>
      <c r="B55" t="s">
        <v>216</v>
      </c>
      <c r="C55" t="s">
        <v>28</v>
      </c>
      <c r="D55" t="s">
        <v>29</v>
      </c>
      <c r="E55" t="s">
        <v>129</v>
      </c>
      <c r="F55" t="s">
        <v>217</v>
      </c>
      <c r="G55" t="s">
        <v>32</v>
      </c>
      <c r="H55" t="s">
        <v>33</v>
      </c>
      <c r="I55" s="1" t="s">
        <v>38</v>
      </c>
      <c r="J55"/>
      <c r="K55"/>
      <c r="L55"/>
      <c r="M55"/>
      <c r="N55"/>
    </row>
    <row r="56" spans="1:14" ht="48" hidden="1">
      <c r="A56" t="s">
        <v>13</v>
      </c>
      <c r="B56" t="s">
        <v>218</v>
      </c>
      <c r="C56" t="s">
        <v>28</v>
      </c>
      <c r="D56" t="s">
        <v>29</v>
      </c>
      <c r="E56" t="s">
        <v>129</v>
      </c>
      <c r="F56" t="s">
        <v>219</v>
      </c>
      <c r="G56" t="s">
        <v>32</v>
      </c>
      <c r="H56" t="s">
        <v>33</v>
      </c>
      <c r="I56" s="1" t="s">
        <v>220</v>
      </c>
      <c r="J56"/>
      <c r="K56"/>
      <c r="L56"/>
      <c r="M56"/>
      <c r="N56"/>
    </row>
    <row r="57" spans="1:14" ht="96" hidden="1">
      <c r="A57" t="s">
        <v>13</v>
      </c>
      <c r="B57" t="s">
        <v>221</v>
      </c>
      <c r="C57" t="s">
        <v>222</v>
      </c>
      <c r="D57" t="s">
        <v>223</v>
      </c>
      <c r="E57" t="s">
        <v>224</v>
      </c>
      <c r="F57" t="s">
        <v>225</v>
      </c>
      <c r="G57" t="s">
        <v>32</v>
      </c>
      <c r="H57" s="11" t="s">
        <v>67</v>
      </c>
      <c r="I57" s="2" t="s">
        <v>1840</v>
      </c>
      <c r="J57" s="4" t="s">
        <v>39</v>
      </c>
      <c r="K57" s="2" t="s">
        <v>227</v>
      </c>
      <c r="L57" s="2" t="str">
        <f>VLOOKUP(B57,Sheet2!F:Z,12,0)</f>
        <v>重插数据线</v>
      </c>
      <c r="M57" s="2" t="s">
        <v>41</v>
      </c>
    </row>
    <row r="58" spans="1:14" ht="64" hidden="1">
      <c r="A58" t="s">
        <v>13</v>
      </c>
      <c r="B58" t="s">
        <v>228</v>
      </c>
      <c r="C58" t="s">
        <v>28</v>
      </c>
      <c r="D58" t="s">
        <v>29</v>
      </c>
      <c r="E58" t="s">
        <v>129</v>
      </c>
      <c r="F58" t="s">
        <v>229</v>
      </c>
      <c r="G58" t="s">
        <v>32</v>
      </c>
      <c r="H58" t="s">
        <v>33</v>
      </c>
      <c r="I58" s="1" t="s">
        <v>38</v>
      </c>
      <c r="J58"/>
      <c r="K58"/>
      <c r="L58"/>
      <c r="M58"/>
      <c r="N58"/>
    </row>
    <row r="59" spans="1:14" ht="16" hidden="1">
      <c r="A59" t="s">
        <v>13</v>
      </c>
      <c r="B59" t="s">
        <v>230</v>
      </c>
      <c r="C59" t="s">
        <v>15</v>
      </c>
      <c r="D59" t="s">
        <v>16</v>
      </c>
      <c r="E59" t="s">
        <v>23</v>
      </c>
      <c r="F59" t="s">
        <v>231</v>
      </c>
      <c r="G59" t="s">
        <v>113</v>
      </c>
      <c r="H59" t="s">
        <v>232</v>
      </c>
      <c r="I59" s="1" t="s">
        <v>233</v>
      </c>
      <c r="J59"/>
      <c r="K59"/>
      <c r="L59"/>
      <c r="M59"/>
      <c r="N59"/>
    </row>
    <row r="60" spans="1:14" ht="16" hidden="1">
      <c r="A60" t="s">
        <v>13</v>
      </c>
      <c r="B60" t="s">
        <v>234</v>
      </c>
      <c r="C60" t="s">
        <v>43</v>
      </c>
      <c r="D60" t="s">
        <v>44</v>
      </c>
      <c r="E60" t="s">
        <v>45</v>
      </c>
      <c r="F60" t="s">
        <v>235</v>
      </c>
      <c r="G60" t="s">
        <v>19</v>
      </c>
      <c r="H60" s="11" t="s">
        <v>169</v>
      </c>
      <c r="I60" s="2" t="s">
        <v>236</v>
      </c>
      <c r="J60" s="4" t="s">
        <v>39</v>
      </c>
      <c r="K60" s="2" t="s">
        <v>237</v>
      </c>
      <c r="L60" s="2" t="str">
        <f>VLOOKUP(B60,Sheet2!F:Z,12,0)</f>
        <v>更换硬盘</v>
      </c>
      <c r="M60" s="2" t="s">
        <v>41</v>
      </c>
    </row>
    <row r="61" spans="1:14" ht="16" hidden="1">
      <c r="A61" t="s">
        <v>13</v>
      </c>
      <c r="B61" t="s">
        <v>238</v>
      </c>
      <c r="C61" t="s">
        <v>15</v>
      </c>
      <c r="D61" t="s">
        <v>16</v>
      </c>
      <c r="E61" t="s">
        <v>239</v>
      </c>
      <c r="F61" t="s">
        <v>240</v>
      </c>
      <c r="G61" t="s">
        <v>19</v>
      </c>
      <c r="H61" s="11" t="s">
        <v>241</v>
      </c>
      <c r="I61" s="2" t="s">
        <v>242</v>
      </c>
      <c r="J61" s="4" t="s">
        <v>39</v>
      </c>
      <c r="K61" s="2" t="s">
        <v>243</v>
      </c>
      <c r="L61" s="2" t="str">
        <f>VLOOKUP(B61,Sheet2!F:Z,12,0)</f>
        <v>重插CPU</v>
      </c>
      <c r="M61" s="2" t="s">
        <v>41</v>
      </c>
    </row>
    <row r="62" spans="1:14" ht="16" hidden="1">
      <c r="A62" t="s">
        <v>13</v>
      </c>
      <c r="B62" t="s">
        <v>244</v>
      </c>
      <c r="C62" t="s">
        <v>43</v>
      </c>
      <c r="E62" t="s">
        <v>132</v>
      </c>
      <c r="F62" t="s">
        <v>245</v>
      </c>
      <c r="G62" t="s">
        <v>62</v>
      </c>
      <c r="H62" t="s">
        <v>90</v>
      </c>
      <c r="I62" s="1" t="s">
        <v>91</v>
      </c>
      <c r="J62"/>
      <c r="K62"/>
      <c r="L62"/>
      <c r="M62"/>
      <c r="N62"/>
    </row>
    <row r="63" spans="1:14" ht="16" hidden="1">
      <c r="A63" t="s">
        <v>13</v>
      </c>
      <c r="B63" t="s">
        <v>246</v>
      </c>
      <c r="C63" t="s">
        <v>43</v>
      </c>
      <c r="E63" t="s">
        <v>132</v>
      </c>
      <c r="F63" t="s">
        <v>247</v>
      </c>
      <c r="G63" t="s">
        <v>62</v>
      </c>
      <c r="H63" t="s">
        <v>90</v>
      </c>
      <c r="I63" s="1" t="s">
        <v>91</v>
      </c>
      <c r="J63"/>
      <c r="K63"/>
      <c r="L63"/>
      <c r="M63"/>
      <c r="N63"/>
    </row>
    <row r="64" spans="1:14" ht="16" hidden="1">
      <c r="A64" t="s">
        <v>13</v>
      </c>
      <c r="B64" t="s">
        <v>248</v>
      </c>
      <c r="C64" t="s">
        <v>15</v>
      </c>
      <c r="D64" t="s">
        <v>16</v>
      </c>
      <c r="E64" t="s">
        <v>23</v>
      </c>
      <c r="F64" t="s">
        <v>249</v>
      </c>
      <c r="G64" t="s">
        <v>19</v>
      </c>
      <c r="H64" t="s">
        <v>250</v>
      </c>
      <c r="I64" s="1" t="s">
        <v>251</v>
      </c>
      <c r="J64"/>
      <c r="K64"/>
      <c r="L64"/>
      <c r="M64"/>
      <c r="N64"/>
    </row>
    <row r="65" spans="1:14" ht="96">
      <c r="A65" t="s">
        <v>13</v>
      </c>
      <c r="B65" t="s">
        <v>252</v>
      </c>
      <c r="C65" t="s">
        <v>28</v>
      </c>
      <c r="D65" t="s">
        <v>29</v>
      </c>
      <c r="E65" t="s">
        <v>132</v>
      </c>
      <c r="F65" t="s">
        <v>253</v>
      </c>
      <c r="G65" t="s">
        <v>32</v>
      </c>
      <c r="H65" s="11" t="s">
        <v>33</v>
      </c>
      <c r="I65" s="2" t="s">
        <v>38</v>
      </c>
      <c r="J65" s="4" t="s">
        <v>39</v>
      </c>
      <c r="K65" s="2" t="s">
        <v>254</v>
      </c>
      <c r="L65" s="2" t="str">
        <f>VLOOKUP(B65,Sheet2!F:Z,12,0)</f>
        <v>更换数据线</v>
      </c>
      <c r="M65" s="2" t="s">
        <v>99</v>
      </c>
      <c r="N65" s="3">
        <v>0</v>
      </c>
    </row>
    <row r="66" spans="1:14" ht="64" hidden="1">
      <c r="A66" t="s">
        <v>13</v>
      </c>
      <c r="B66" t="s">
        <v>255</v>
      </c>
      <c r="C66" t="s">
        <v>43</v>
      </c>
      <c r="D66" t="s">
        <v>44</v>
      </c>
      <c r="E66" t="s">
        <v>45</v>
      </c>
      <c r="F66" t="s">
        <v>256</v>
      </c>
      <c r="G66" t="s">
        <v>19</v>
      </c>
      <c r="H66" t="s">
        <v>51</v>
      </c>
      <c r="I66" s="1" t="s">
        <v>257</v>
      </c>
      <c r="J66"/>
      <c r="K66"/>
      <c r="L66"/>
      <c r="M66"/>
      <c r="N66"/>
    </row>
    <row r="67" spans="1:14" ht="96">
      <c r="A67" t="s">
        <v>13</v>
      </c>
      <c r="B67" t="s">
        <v>234</v>
      </c>
      <c r="C67" t="s">
        <v>43</v>
      </c>
      <c r="D67" t="s">
        <v>44</v>
      </c>
      <c r="E67" t="s">
        <v>45</v>
      </c>
      <c r="F67" t="s">
        <v>258</v>
      </c>
      <c r="G67" t="s">
        <v>19</v>
      </c>
      <c r="H67" s="11" t="s">
        <v>259</v>
      </c>
      <c r="I67" s="2" t="s">
        <v>1841</v>
      </c>
      <c r="J67" s="4" t="s">
        <v>39</v>
      </c>
      <c r="K67" s="2" t="s">
        <v>237</v>
      </c>
      <c r="L67" s="2" t="str">
        <f>VLOOKUP(B67,Sheet2!F:Z,12,0)</f>
        <v>更换硬盘</v>
      </c>
      <c r="M67" s="2" t="s">
        <v>41</v>
      </c>
      <c r="N67" s="3">
        <v>0</v>
      </c>
    </row>
    <row r="68" spans="1:14" ht="48" hidden="1">
      <c r="A68" t="s">
        <v>13</v>
      </c>
      <c r="B68" t="s">
        <v>261</v>
      </c>
      <c r="C68" t="s">
        <v>28</v>
      </c>
      <c r="D68" t="s">
        <v>29</v>
      </c>
      <c r="E68" t="s">
        <v>132</v>
      </c>
      <c r="F68" t="s">
        <v>262</v>
      </c>
      <c r="G68" t="s">
        <v>32</v>
      </c>
      <c r="H68" t="s">
        <v>33</v>
      </c>
      <c r="I68" s="1" t="s">
        <v>263</v>
      </c>
      <c r="J68"/>
      <c r="K68"/>
      <c r="L68"/>
      <c r="M68"/>
      <c r="N68"/>
    </row>
    <row r="69" spans="1:14" ht="64" hidden="1">
      <c r="A69" t="s">
        <v>13</v>
      </c>
      <c r="B69" t="s">
        <v>264</v>
      </c>
      <c r="C69" t="s">
        <v>43</v>
      </c>
      <c r="E69" t="s">
        <v>265</v>
      </c>
      <c r="F69" t="s">
        <v>266</v>
      </c>
      <c r="G69" t="s">
        <v>32</v>
      </c>
      <c r="H69" t="s">
        <v>90</v>
      </c>
      <c r="I69" s="1" t="s">
        <v>267</v>
      </c>
      <c r="J69"/>
      <c r="K69"/>
      <c r="L69"/>
      <c r="M69"/>
      <c r="N69"/>
    </row>
    <row r="70" spans="1:14" ht="16" hidden="1">
      <c r="A70" t="s">
        <v>13</v>
      </c>
      <c r="B70" t="s">
        <v>264</v>
      </c>
      <c r="C70" t="s">
        <v>43</v>
      </c>
      <c r="E70" t="s">
        <v>265</v>
      </c>
      <c r="F70" t="s">
        <v>268</v>
      </c>
      <c r="G70" t="s">
        <v>32</v>
      </c>
      <c r="H70" t="s">
        <v>90</v>
      </c>
      <c r="I70" s="1" t="s">
        <v>91</v>
      </c>
      <c r="J70"/>
      <c r="K70"/>
      <c r="L70"/>
      <c r="M70"/>
      <c r="N70"/>
    </row>
    <row r="71" spans="1:14" ht="48" hidden="1">
      <c r="A71" t="s">
        <v>13</v>
      </c>
      <c r="B71" t="s">
        <v>269</v>
      </c>
      <c r="C71" t="s">
        <v>28</v>
      </c>
      <c r="D71" t="s">
        <v>29</v>
      </c>
      <c r="E71" t="s">
        <v>77</v>
      </c>
      <c r="F71" t="s">
        <v>270</v>
      </c>
      <c r="G71" t="s">
        <v>32</v>
      </c>
      <c r="H71" t="s">
        <v>33</v>
      </c>
      <c r="I71" s="1" t="s">
        <v>271</v>
      </c>
      <c r="J71"/>
      <c r="K71"/>
      <c r="L71"/>
      <c r="M71"/>
      <c r="N71"/>
    </row>
    <row r="72" spans="1:14" ht="64">
      <c r="A72" t="s">
        <v>13</v>
      </c>
      <c r="B72" t="s">
        <v>171</v>
      </c>
      <c r="C72" t="s">
        <v>28</v>
      </c>
      <c r="D72" t="s">
        <v>29</v>
      </c>
      <c r="E72" t="s">
        <v>60</v>
      </c>
      <c r="F72" t="s">
        <v>272</v>
      </c>
      <c r="G72" t="s">
        <v>32</v>
      </c>
      <c r="H72" s="11" t="s">
        <v>33</v>
      </c>
      <c r="I72" s="2" t="s">
        <v>273</v>
      </c>
      <c r="J72" s="4" t="s">
        <v>39</v>
      </c>
      <c r="K72" s="2" t="s">
        <v>274</v>
      </c>
      <c r="L72" s="2" t="str">
        <f>VLOOKUP(B72,Sheet2!F:Z,12,0)</f>
        <v>更换主板</v>
      </c>
      <c r="M72" s="2" t="s">
        <v>99</v>
      </c>
      <c r="N72" s="3">
        <v>0</v>
      </c>
    </row>
    <row r="73" spans="1:14" ht="64" hidden="1">
      <c r="A73" t="s">
        <v>13</v>
      </c>
      <c r="B73" t="s">
        <v>131</v>
      </c>
      <c r="C73" t="s">
        <v>28</v>
      </c>
      <c r="D73" t="s">
        <v>29</v>
      </c>
      <c r="E73" t="s">
        <v>132</v>
      </c>
      <c r="F73" t="s">
        <v>275</v>
      </c>
      <c r="G73" t="s">
        <v>32</v>
      </c>
      <c r="H73" t="s">
        <v>33</v>
      </c>
      <c r="I73" s="1" t="s">
        <v>38</v>
      </c>
      <c r="J73"/>
      <c r="K73"/>
      <c r="L73"/>
      <c r="M73"/>
      <c r="N73"/>
    </row>
    <row r="74" spans="1:14" ht="48" hidden="1">
      <c r="A74" t="s">
        <v>13</v>
      </c>
      <c r="B74" t="s">
        <v>276</v>
      </c>
      <c r="C74" t="s">
        <v>28</v>
      </c>
      <c r="D74" t="s">
        <v>29</v>
      </c>
      <c r="E74" t="s">
        <v>30</v>
      </c>
      <c r="F74" t="s">
        <v>277</v>
      </c>
      <c r="G74" t="s">
        <v>19</v>
      </c>
      <c r="H74" t="s">
        <v>214</v>
      </c>
      <c r="I74" s="1" t="s">
        <v>278</v>
      </c>
      <c r="J74"/>
      <c r="K74"/>
      <c r="L74"/>
      <c r="M74"/>
      <c r="N74"/>
    </row>
    <row r="75" spans="1:14" ht="64" hidden="1">
      <c r="A75" t="s">
        <v>13</v>
      </c>
      <c r="B75" t="s">
        <v>121</v>
      </c>
      <c r="C75" t="s">
        <v>122</v>
      </c>
      <c r="D75" t="s">
        <v>123</v>
      </c>
      <c r="E75" t="s">
        <v>124</v>
      </c>
      <c r="F75" t="s">
        <v>279</v>
      </c>
      <c r="G75" t="s">
        <v>19</v>
      </c>
      <c r="H75" t="s">
        <v>152</v>
      </c>
      <c r="I75" s="1" t="s">
        <v>280</v>
      </c>
      <c r="J75"/>
      <c r="K75"/>
      <c r="L75"/>
      <c r="M75"/>
      <c r="N75"/>
    </row>
    <row r="76" spans="1:14" ht="96">
      <c r="A76" t="s">
        <v>13</v>
      </c>
      <c r="B76" t="s">
        <v>281</v>
      </c>
      <c r="C76" t="s">
        <v>28</v>
      </c>
      <c r="D76" t="s">
        <v>29</v>
      </c>
      <c r="E76" t="s">
        <v>265</v>
      </c>
      <c r="F76" t="s">
        <v>282</v>
      </c>
      <c r="G76" t="s">
        <v>32</v>
      </c>
      <c r="H76" s="11" t="s">
        <v>33</v>
      </c>
      <c r="I76" s="2" t="s">
        <v>1842</v>
      </c>
      <c r="J76" s="4" t="s">
        <v>39</v>
      </c>
      <c r="K76" s="2" t="s">
        <v>254</v>
      </c>
      <c r="L76" s="2" t="str">
        <f>VLOOKUP(B76,Sheet2!F:Z,12,0)</f>
        <v>更换retimer卡</v>
      </c>
      <c r="M76" s="2" t="s">
        <v>99</v>
      </c>
      <c r="N76" s="3">
        <v>0</v>
      </c>
    </row>
    <row r="77" spans="1:14" ht="64" hidden="1">
      <c r="A77" t="s">
        <v>13</v>
      </c>
      <c r="B77" t="s">
        <v>121</v>
      </c>
      <c r="C77" t="s">
        <v>122</v>
      </c>
      <c r="D77" t="s">
        <v>123</v>
      </c>
      <c r="E77" t="s">
        <v>124</v>
      </c>
      <c r="F77" t="s">
        <v>283</v>
      </c>
      <c r="G77" t="s">
        <v>19</v>
      </c>
      <c r="H77" t="s">
        <v>152</v>
      </c>
      <c r="I77" s="1" t="s">
        <v>284</v>
      </c>
      <c r="J77"/>
      <c r="K77"/>
      <c r="L77"/>
      <c r="M77"/>
      <c r="N77"/>
    </row>
    <row r="78" spans="1:14" ht="96" hidden="1">
      <c r="A78" t="s">
        <v>13</v>
      </c>
      <c r="B78" t="s">
        <v>252</v>
      </c>
      <c r="C78" t="s">
        <v>28</v>
      </c>
      <c r="D78" t="s">
        <v>29</v>
      </c>
      <c r="E78" t="s">
        <v>132</v>
      </c>
      <c r="F78" t="s">
        <v>285</v>
      </c>
      <c r="G78" t="s">
        <v>32</v>
      </c>
      <c r="H78" s="11" t="s">
        <v>33</v>
      </c>
      <c r="I78" s="2" t="s">
        <v>286</v>
      </c>
      <c r="J78" s="4" t="s">
        <v>39</v>
      </c>
      <c r="K78" s="2" t="s">
        <v>254</v>
      </c>
      <c r="L78" s="2" t="str">
        <f>VLOOKUP(B78,Sheet2!F:Z,12,0)</f>
        <v>更换数据线</v>
      </c>
      <c r="M78" s="2" t="s">
        <v>99</v>
      </c>
    </row>
    <row r="79" spans="1:14" ht="64" hidden="1">
      <c r="A79" t="s">
        <v>13</v>
      </c>
      <c r="B79" t="s">
        <v>121</v>
      </c>
      <c r="C79" t="s">
        <v>122</v>
      </c>
      <c r="D79" t="s">
        <v>123</v>
      </c>
      <c r="E79" t="s">
        <v>124</v>
      </c>
      <c r="F79" t="s">
        <v>287</v>
      </c>
      <c r="G79" t="s">
        <v>19</v>
      </c>
      <c r="H79" t="s">
        <v>152</v>
      </c>
      <c r="I79" s="1" t="s">
        <v>288</v>
      </c>
      <c r="J79"/>
      <c r="K79"/>
      <c r="L79"/>
      <c r="M79"/>
      <c r="N79"/>
    </row>
    <row r="80" spans="1:14" ht="32" hidden="1">
      <c r="A80" t="s">
        <v>13</v>
      </c>
      <c r="B80" t="s">
        <v>104</v>
      </c>
      <c r="C80" t="s">
        <v>28</v>
      </c>
      <c r="D80" t="s">
        <v>29</v>
      </c>
      <c r="E80" t="s">
        <v>77</v>
      </c>
      <c r="F80" t="s">
        <v>289</v>
      </c>
      <c r="G80" t="s">
        <v>19</v>
      </c>
      <c r="H80" t="s">
        <v>290</v>
      </c>
      <c r="I80" s="1" t="s">
        <v>291</v>
      </c>
      <c r="J80"/>
      <c r="K80"/>
      <c r="L80"/>
      <c r="M80"/>
      <c r="N80"/>
    </row>
    <row r="81" spans="1:14" ht="64" hidden="1">
      <c r="A81" t="s">
        <v>13</v>
      </c>
      <c r="B81" t="s">
        <v>292</v>
      </c>
      <c r="C81" t="s">
        <v>122</v>
      </c>
      <c r="D81" t="s">
        <v>123</v>
      </c>
      <c r="E81" t="s">
        <v>124</v>
      </c>
      <c r="F81" t="s">
        <v>293</v>
      </c>
      <c r="G81" t="s">
        <v>19</v>
      </c>
      <c r="H81" t="s">
        <v>51</v>
      </c>
      <c r="I81" s="1" t="s">
        <v>294</v>
      </c>
      <c r="J81"/>
      <c r="K81"/>
      <c r="L81"/>
      <c r="M81"/>
      <c r="N81"/>
    </row>
    <row r="82" spans="1:14" ht="16" hidden="1">
      <c r="A82" t="s">
        <v>13</v>
      </c>
      <c r="B82" t="s">
        <v>295</v>
      </c>
      <c r="C82" t="s">
        <v>43</v>
      </c>
      <c r="E82" t="s">
        <v>70</v>
      </c>
      <c r="F82" t="s">
        <v>296</v>
      </c>
      <c r="G82" t="s">
        <v>62</v>
      </c>
      <c r="H82" t="s">
        <v>90</v>
      </c>
      <c r="I82" s="1" t="s">
        <v>91</v>
      </c>
      <c r="J82"/>
      <c r="K82"/>
      <c r="L82"/>
      <c r="M82"/>
      <c r="N82"/>
    </row>
    <row r="83" spans="1:14" ht="16" hidden="1">
      <c r="A83" t="s">
        <v>13</v>
      </c>
      <c r="B83" t="s">
        <v>297</v>
      </c>
      <c r="C83" t="s">
        <v>43</v>
      </c>
      <c r="E83" t="s">
        <v>129</v>
      </c>
      <c r="F83" t="s">
        <v>298</v>
      </c>
      <c r="G83" t="s">
        <v>32</v>
      </c>
      <c r="H83" t="s">
        <v>90</v>
      </c>
      <c r="I83" s="1" t="s">
        <v>91</v>
      </c>
      <c r="J83"/>
      <c r="K83"/>
      <c r="L83"/>
      <c r="M83"/>
      <c r="N83"/>
    </row>
    <row r="84" spans="1:14" ht="64" hidden="1">
      <c r="A84" t="s">
        <v>13</v>
      </c>
      <c r="B84" t="s">
        <v>281</v>
      </c>
      <c r="C84" t="s">
        <v>28</v>
      </c>
      <c r="D84" t="s">
        <v>29</v>
      </c>
      <c r="E84" t="s">
        <v>265</v>
      </c>
      <c r="F84" t="s">
        <v>299</v>
      </c>
      <c r="G84" t="s">
        <v>62</v>
      </c>
      <c r="H84" t="s">
        <v>33</v>
      </c>
      <c r="I84" s="1" t="s">
        <v>300</v>
      </c>
      <c r="J84"/>
      <c r="K84"/>
      <c r="L84"/>
      <c r="M84"/>
      <c r="N84"/>
    </row>
    <row r="85" spans="1:14" ht="16" hidden="1">
      <c r="A85" t="s">
        <v>13</v>
      </c>
      <c r="B85" t="s">
        <v>128</v>
      </c>
      <c r="C85" t="s">
        <v>43</v>
      </c>
      <c r="E85" t="s">
        <v>129</v>
      </c>
      <c r="F85" t="s">
        <v>301</v>
      </c>
      <c r="G85" t="s">
        <v>62</v>
      </c>
      <c r="H85" t="s">
        <v>90</v>
      </c>
      <c r="I85" s="1" t="s">
        <v>91</v>
      </c>
      <c r="J85"/>
      <c r="K85"/>
      <c r="L85"/>
      <c r="M85"/>
      <c r="N85"/>
    </row>
    <row r="86" spans="1:14" ht="48" hidden="1">
      <c r="A86" t="s">
        <v>13</v>
      </c>
      <c r="B86" t="s">
        <v>252</v>
      </c>
      <c r="C86" t="s">
        <v>28</v>
      </c>
      <c r="D86" t="s">
        <v>29</v>
      </c>
      <c r="E86" t="s">
        <v>132</v>
      </c>
      <c r="F86" t="s">
        <v>302</v>
      </c>
      <c r="G86" t="s">
        <v>62</v>
      </c>
      <c r="H86" t="s">
        <v>33</v>
      </c>
      <c r="I86" s="1" t="s">
        <v>303</v>
      </c>
      <c r="J86"/>
      <c r="K86"/>
      <c r="L86"/>
      <c r="M86"/>
      <c r="N86"/>
    </row>
    <row r="87" spans="1:14" ht="16" hidden="1">
      <c r="A87" t="s">
        <v>13</v>
      </c>
      <c r="B87" t="s">
        <v>248</v>
      </c>
      <c r="C87" t="s">
        <v>15</v>
      </c>
      <c r="D87" t="s">
        <v>16</v>
      </c>
      <c r="E87" t="s">
        <v>23</v>
      </c>
      <c r="F87" t="s">
        <v>304</v>
      </c>
      <c r="G87" t="s">
        <v>19</v>
      </c>
      <c r="H87" t="s">
        <v>305</v>
      </c>
      <c r="I87" s="1" t="s">
        <v>21</v>
      </c>
      <c r="J87"/>
      <c r="K87"/>
      <c r="L87"/>
      <c r="M87"/>
      <c r="N87"/>
    </row>
    <row r="88" spans="1:14" ht="16" hidden="1">
      <c r="A88" t="s">
        <v>13</v>
      </c>
      <c r="B88" t="s">
        <v>306</v>
      </c>
      <c r="C88" t="s">
        <v>28</v>
      </c>
      <c r="D88" t="s">
        <v>29</v>
      </c>
      <c r="E88" t="s">
        <v>77</v>
      </c>
      <c r="F88" t="s">
        <v>307</v>
      </c>
      <c r="G88" t="s">
        <v>19</v>
      </c>
      <c r="H88" t="s">
        <v>145</v>
      </c>
      <c r="I88" s="1" t="s">
        <v>198</v>
      </c>
      <c r="J88"/>
      <c r="K88"/>
      <c r="L88"/>
      <c r="M88"/>
      <c r="N88"/>
    </row>
    <row r="89" spans="1:14" ht="64" hidden="1">
      <c r="A89" t="s">
        <v>13</v>
      </c>
      <c r="B89" t="s">
        <v>308</v>
      </c>
      <c r="C89" t="s">
        <v>28</v>
      </c>
      <c r="D89" t="s">
        <v>29</v>
      </c>
      <c r="E89" t="s">
        <v>30</v>
      </c>
      <c r="F89" t="s">
        <v>309</v>
      </c>
      <c r="G89" t="s">
        <v>62</v>
      </c>
      <c r="H89" t="s">
        <v>145</v>
      </c>
      <c r="I89" s="1" t="s">
        <v>310</v>
      </c>
      <c r="J89"/>
      <c r="K89"/>
      <c r="L89"/>
      <c r="M89"/>
      <c r="N89"/>
    </row>
    <row r="90" spans="1:14" ht="96" hidden="1">
      <c r="A90" t="s">
        <v>13</v>
      </c>
      <c r="B90" t="s">
        <v>252</v>
      </c>
      <c r="C90" t="s">
        <v>28</v>
      </c>
      <c r="D90" t="s">
        <v>29</v>
      </c>
      <c r="E90" t="s">
        <v>132</v>
      </c>
      <c r="F90" t="s">
        <v>311</v>
      </c>
      <c r="G90" t="s">
        <v>32</v>
      </c>
      <c r="H90" s="11" t="s">
        <v>33</v>
      </c>
      <c r="I90" s="2" t="s">
        <v>1843</v>
      </c>
      <c r="J90" s="4" t="s">
        <v>39</v>
      </c>
      <c r="K90" s="2" t="s">
        <v>254</v>
      </c>
      <c r="L90" s="2" t="str">
        <f>VLOOKUP(B90,Sheet2!F:Z,12,0)</f>
        <v>更换数据线</v>
      </c>
      <c r="M90" s="2" t="s">
        <v>99</v>
      </c>
    </row>
    <row r="91" spans="1:14" ht="32" hidden="1">
      <c r="A91" t="s">
        <v>13</v>
      </c>
      <c r="B91" t="s">
        <v>147</v>
      </c>
      <c r="C91" t="s">
        <v>148</v>
      </c>
      <c r="D91" t="s">
        <v>149</v>
      </c>
      <c r="E91" t="s">
        <v>150</v>
      </c>
      <c r="F91" t="s">
        <v>313</v>
      </c>
      <c r="G91" t="s">
        <v>32</v>
      </c>
      <c r="H91" t="s">
        <v>152</v>
      </c>
      <c r="I91" s="1" t="s">
        <v>153</v>
      </c>
      <c r="J91"/>
      <c r="K91"/>
      <c r="L91"/>
      <c r="M91"/>
      <c r="N91"/>
    </row>
    <row r="92" spans="1:14" ht="32" hidden="1">
      <c r="A92" t="s">
        <v>13</v>
      </c>
      <c r="B92" t="s">
        <v>314</v>
      </c>
      <c r="C92" t="s">
        <v>148</v>
      </c>
      <c r="D92" t="s">
        <v>149</v>
      </c>
      <c r="E92" t="s">
        <v>150</v>
      </c>
      <c r="F92" t="s">
        <v>315</v>
      </c>
      <c r="G92" t="s">
        <v>32</v>
      </c>
      <c r="H92" t="s">
        <v>152</v>
      </c>
      <c r="I92" s="1" t="s">
        <v>153</v>
      </c>
      <c r="J92"/>
      <c r="K92"/>
      <c r="L92"/>
      <c r="M92"/>
      <c r="N92"/>
    </row>
    <row r="93" spans="1:14" ht="32" hidden="1">
      <c r="A93" t="s">
        <v>13</v>
      </c>
      <c r="B93" t="s">
        <v>160</v>
      </c>
      <c r="C93" t="s">
        <v>148</v>
      </c>
      <c r="D93" t="s">
        <v>149</v>
      </c>
      <c r="E93" t="s">
        <v>150</v>
      </c>
      <c r="F93" t="s">
        <v>316</v>
      </c>
      <c r="G93" t="s">
        <v>32</v>
      </c>
      <c r="H93" t="s">
        <v>152</v>
      </c>
      <c r="I93" s="1" t="s">
        <v>153</v>
      </c>
      <c r="J93"/>
      <c r="K93"/>
      <c r="L93"/>
      <c r="M93"/>
      <c r="N93"/>
    </row>
    <row r="94" spans="1:14" ht="32" hidden="1">
      <c r="A94" t="s">
        <v>13</v>
      </c>
      <c r="B94" t="s">
        <v>317</v>
      </c>
      <c r="C94" t="s">
        <v>148</v>
      </c>
      <c r="D94" t="s">
        <v>149</v>
      </c>
      <c r="E94" t="s">
        <v>150</v>
      </c>
      <c r="F94" t="s">
        <v>318</v>
      </c>
      <c r="G94" t="s">
        <v>32</v>
      </c>
      <c r="H94" t="s">
        <v>152</v>
      </c>
      <c r="I94" s="1" t="s">
        <v>153</v>
      </c>
      <c r="J94"/>
      <c r="K94"/>
      <c r="L94"/>
      <c r="M94"/>
      <c r="N94"/>
    </row>
    <row r="95" spans="1:14" ht="32" hidden="1">
      <c r="A95" t="s">
        <v>13</v>
      </c>
      <c r="B95" t="s">
        <v>319</v>
      </c>
      <c r="C95" t="s">
        <v>148</v>
      </c>
      <c r="D95" t="s">
        <v>149</v>
      </c>
      <c r="E95" t="s">
        <v>150</v>
      </c>
      <c r="F95" t="s">
        <v>320</v>
      </c>
      <c r="G95" t="s">
        <v>32</v>
      </c>
      <c r="H95" t="s">
        <v>152</v>
      </c>
      <c r="I95" s="1" t="s">
        <v>153</v>
      </c>
      <c r="J95"/>
      <c r="K95"/>
      <c r="L95"/>
      <c r="M95"/>
      <c r="N95"/>
    </row>
    <row r="96" spans="1:14" ht="32" hidden="1">
      <c r="A96" t="s">
        <v>13</v>
      </c>
      <c r="B96" t="s">
        <v>321</v>
      </c>
      <c r="C96" t="s">
        <v>148</v>
      </c>
      <c r="D96" t="s">
        <v>149</v>
      </c>
      <c r="E96" t="s">
        <v>150</v>
      </c>
      <c r="F96" t="s">
        <v>322</v>
      </c>
      <c r="G96" t="s">
        <v>32</v>
      </c>
      <c r="H96" t="s">
        <v>152</v>
      </c>
      <c r="I96" s="1" t="s">
        <v>153</v>
      </c>
      <c r="J96"/>
      <c r="K96"/>
      <c r="L96"/>
      <c r="M96"/>
      <c r="N96"/>
    </row>
    <row r="97" spans="1:14" ht="16" hidden="1">
      <c r="A97" t="s">
        <v>13</v>
      </c>
      <c r="B97" t="s">
        <v>323</v>
      </c>
      <c r="C97" t="s">
        <v>15</v>
      </c>
      <c r="D97" t="s">
        <v>16</v>
      </c>
      <c r="E97" t="s">
        <v>23</v>
      </c>
      <c r="F97" t="s">
        <v>324</v>
      </c>
      <c r="G97" t="s">
        <v>32</v>
      </c>
      <c r="H97" t="s">
        <v>232</v>
      </c>
      <c r="I97" s="1" t="s">
        <v>325</v>
      </c>
      <c r="J97"/>
      <c r="K97"/>
      <c r="L97"/>
      <c r="M97"/>
      <c r="N97"/>
    </row>
    <row r="98" spans="1:14" ht="48" hidden="1">
      <c r="A98" t="s">
        <v>13</v>
      </c>
      <c r="B98" t="s">
        <v>326</v>
      </c>
      <c r="C98" t="s">
        <v>28</v>
      </c>
      <c r="D98" t="s">
        <v>29</v>
      </c>
      <c r="E98" t="s">
        <v>132</v>
      </c>
      <c r="F98" t="s">
        <v>327</v>
      </c>
      <c r="G98" t="s">
        <v>32</v>
      </c>
      <c r="H98" t="s">
        <v>33</v>
      </c>
      <c r="I98" s="1" t="s">
        <v>328</v>
      </c>
      <c r="J98"/>
      <c r="K98"/>
      <c r="L98"/>
      <c r="M98"/>
      <c r="N98"/>
    </row>
    <row r="99" spans="1:14" ht="64" hidden="1">
      <c r="A99" t="s">
        <v>13</v>
      </c>
      <c r="B99" t="s">
        <v>329</v>
      </c>
      <c r="C99" t="s">
        <v>28</v>
      </c>
      <c r="D99" t="s">
        <v>29</v>
      </c>
      <c r="E99" t="s">
        <v>30</v>
      </c>
      <c r="F99" t="s">
        <v>330</v>
      </c>
      <c r="G99" t="s">
        <v>19</v>
      </c>
      <c r="H99" t="s">
        <v>109</v>
      </c>
      <c r="I99" s="1" t="s">
        <v>331</v>
      </c>
      <c r="J99"/>
      <c r="K99"/>
      <c r="L99"/>
      <c r="M99"/>
      <c r="N99"/>
    </row>
    <row r="100" spans="1:14" ht="64" hidden="1">
      <c r="A100" t="s">
        <v>13</v>
      </c>
      <c r="B100" t="s">
        <v>332</v>
      </c>
      <c r="C100" t="s">
        <v>28</v>
      </c>
      <c r="D100" t="s">
        <v>29</v>
      </c>
      <c r="E100" t="s">
        <v>77</v>
      </c>
      <c r="F100" t="s">
        <v>333</v>
      </c>
      <c r="G100" t="s">
        <v>19</v>
      </c>
      <c r="H100" t="s">
        <v>109</v>
      </c>
      <c r="I100" s="1" t="s">
        <v>334</v>
      </c>
      <c r="J100"/>
      <c r="K100"/>
      <c r="L100"/>
      <c r="M100"/>
      <c r="N100"/>
    </row>
    <row r="101" spans="1:14" ht="32" hidden="1">
      <c r="A101" t="s">
        <v>13</v>
      </c>
      <c r="B101" t="s">
        <v>335</v>
      </c>
      <c r="C101" t="s">
        <v>28</v>
      </c>
      <c r="D101" t="s">
        <v>29</v>
      </c>
      <c r="E101" t="s">
        <v>30</v>
      </c>
      <c r="F101" t="s">
        <v>336</v>
      </c>
      <c r="G101" t="s">
        <v>19</v>
      </c>
      <c r="H101" t="s">
        <v>337</v>
      </c>
      <c r="I101" s="1" t="s">
        <v>338</v>
      </c>
      <c r="J101"/>
      <c r="K101"/>
      <c r="L101"/>
      <c r="M101"/>
      <c r="N101"/>
    </row>
    <row r="102" spans="1:14" ht="16" hidden="1">
      <c r="A102" t="s">
        <v>13</v>
      </c>
      <c r="B102" t="s">
        <v>190</v>
      </c>
      <c r="C102" t="s">
        <v>15</v>
      </c>
      <c r="D102" t="s">
        <v>16</v>
      </c>
      <c r="E102" t="s">
        <v>17</v>
      </c>
      <c r="F102" t="s">
        <v>339</v>
      </c>
      <c r="G102" t="s">
        <v>32</v>
      </c>
      <c r="H102" t="s">
        <v>192</v>
      </c>
      <c r="I102" s="1" t="s">
        <v>193</v>
      </c>
      <c r="J102"/>
      <c r="K102"/>
      <c r="L102"/>
      <c r="M102"/>
      <c r="N102"/>
    </row>
    <row r="103" spans="1:14" ht="16" hidden="1">
      <c r="A103" t="s">
        <v>13</v>
      </c>
      <c r="B103" t="s">
        <v>116</v>
      </c>
      <c r="C103" t="s">
        <v>15</v>
      </c>
      <c r="D103" t="s">
        <v>16</v>
      </c>
      <c r="E103" t="s">
        <v>117</v>
      </c>
      <c r="F103" t="s">
        <v>340</v>
      </c>
      <c r="G103" t="s">
        <v>32</v>
      </c>
      <c r="H103" s="11" t="s">
        <v>232</v>
      </c>
      <c r="I103" s="2" t="s">
        <v>233</v>
      </c>
      <c r="J103" s="4" t="s">
        <v>39</v>
      </c>
      <c r="K103" s="2" t="s">
        <v>341</v>
      </c>
      <c r="L103" s="2" t="str">
        <f>VLOOKUP(B103,Sheet2!F:Z,12,0)</f>
        <v>重插CPU</v>
      </c>
      <c r="M103" s="2" t="s">
        <v>41</v>
      </c>
    </row>
    <row r="104" spans="1:14" ht="64" hidden="1">
      <c r="A104" t="s">
        <v>13</v>
      </c>
      <c r="B104" t="s">
        <v>342</v>
      </c>
      <c r="C104" t="s">
        <v>28</v>
      </c>
      <c r="D104" t="s">
        <v>29</v>
      </c>
      <c r="E104" t="s">
        <v>60</v>
      </c>
      <c r="F104" t="s">
        <v>343</v>
      </c>
      <c r="G104" t="s">
        <v>19</v>
      </c>
      <c r="H104" t="s">
        <v>85</v>
      </c>
      <c r="I104" s="1" t="s">
        <v>344</v>
      </c>
      <c r="J104"/>
      <c r="K104"/>
      <c r="L104"/>
      <c r="M104"/>
      <c r="N104"/>
    </row>
    <row r="105" spans="1:14" ht="64" hidden="1">
      <c r="A105" t="s">
        <v>13</v>
      </c>
      <c r="B105" t="s">
        <v>345</v>
      </c>
      <c r="C105" t="s">
        <v>28</v>
      </c>
      <c r="D105" t="s">
        <v>29</v>
      </c>
      <c r="E105" t="s">
        <v>346</v>
      </c>
      <c r="F105" t="s">
        <v>347</v>
      </c>
      <c r="G105" t="s">
        <v>32</v>
      </c>
      <c r="H105" t="s">
        <v>33</v>
      </c>
      <c r="I105" s="1" t="s">
        <v>348</v>
      </c>
      <c r="J105"/>
      <c r="K105"/>
      <c r="L105"/>
      <c r="M105"/>
      <c r="N105"/>
    </row>
    <row r="106" spans="1:14" ht="64" hidden="1">
      <c r="A106" t="s">
        <v>13</v>
      </c>
      <c r="B106" t="s">
        <v>349</v>
      </c>
      <c r="C106" t="s">
        <v>148</v>
      </c>
      <c r="D106" t="s">
        <v>149</v>
      </c>
      <c r="E106" t="s">
        <v>195</v>
      </c>
      <c r="F106" t="s">
        <v>350</v>
      </c>
      <c r="G106" t="s">
        <v>19</v>
      </c>
      <c r="H106" t="s">
        <v>351</v>
      </c>
      <c r="I106" s="1" t="s">
        <v>352</v>
      </c>
      <c r="J106"/>
      <c r="K106"/>
      <c r="L106"/>
      <c r="M106"/>
      <c r="N106"/>
    </row>
    <row r="107" spans="1:14" ht="16" hidden="1">
      <c r="A107" t="s">
        <v>13</v>
      </c>
      <c r="B107" t="s">
        <v>353</v>
      </c>
      <c r="C107" t="s">
        <v>15</v>
      </c>
      <c r="D107" t="s">
        <v>16</v>
      </c>
      <c r="E107" t="s">
        <v>239</v>
      </c>
      <c r="F107" t="s">
        <v>354</v>
      </c>
      <c r="G107" t="s">
        <v>32</v>
      </c>
      <c r="H107" t="s">
        <v>355</v>
      </c>
      <c r="I107" s="1" t="s">
        <v>21</v>
      </c>
      <c r="J107"/>
      <c r="K107"/>
      <c r="L107"/>
      <c r="M107"/>
      <c r="N107"/>
    </row>
    <row r="108" spans="1:14" ht="16" hidden="1">
      <c r="A108" t="s">
        <v>13</v>
      </c>
      <c r="B108" t="s">
        <v>356</v>
      </c>
      <c r="C108" t="s">
        <v>15</v>
      </c>
      <c r="D108" t="s">
        <v>16</v>
      </c>
      <c r="E108" t="s">
        <v>23</v>
      </c>
      <c r="F108" t="s">
        <v>357</v>
      </c>
      <c r="G108" t="s">
        <v>19</v>
      </c>
      <c r="H108" t="s">
        <v>358</v>
      </c>
      <c r="I108" s="1" t="s">
        <v>21</v>
      </c>
      <c r="J108"/>
      <c r="K108"/>
      <c r="L108"/>
      <c r="M108"/>
      <c r="N108"/>
    </row>
    <row r="109" spans="1:14" ht="16" hidden="1">
      <c r="A109" t="s">
        <v>13</v>
      </c>
      <c r="B109" t="s">
        <v>359</v>
      </c>
      <c r="C109" t="s">
        <v>15</v>
      </c>
      <c r="D109" t="s">
        <v>16</v>
      </c>
      <c r="E109" t="s">
        <v>117</v>
      </c>
      <c r="F109" t="s">
        <v>360</v>
      </c>
      <c r="G109" t="s">
        <v>19</v>
      </c>
      <c r="H109" t="s">
        <v>358</v>
      </c>
      <c r="I109" s="1" t="s">
        <v>21</v>
      </c>
      <c r="J109"/>
      <c r="K109"/>
      <c r="L109"/>
      <c r="M109"/>
      <c r="N109"/>
    </row>
    <row r="110" spans="1:14" ht="16" hidden="1">
      <c r="A110" t="s">
        <v>13</v>
      </c>
      <c r="B110" t="s">
        <v>201</v>
      </c>
      <c r="C110" t="s">
        <v>15</v>
      </c>
      <c r="D110" t="s">
        <v>16</v>
      </c>
      <c r="E110" t="s">
        <v>23</v>
      </c>
      <c r="F110" t="s">
        <v>361</v>
      </c>
      <c r="G110" t="s">
        <v>19</v>
      </c>
      <c r="H110" t="s">
        <v>203</v>
      </c>
      <c r="I110" s="1" t="s">
        <v>21</v>
      </c>
      <c r="J110"/>
      <c r="K110"/>
      <c r="L110"/>
      <c r="M110"/>
      <c r="N110"/>
    </row>
    <row r="111" spans="1:14" ht="16" hidden="1">
      <c r="A111" t="s">
        <v>13</v>
      </c>
      <c r="B111" t="s">
        <v>362</v>
      </c>
      <c r="C111" t="s">
        <v>43</v>
      </c>
      <c r="E111" t="s">
        <v>30</v>
      </c>
      <c r="F111" t="s">
        <v>363</v>
      </c>
      <c r="G111" t="s">
        <v>62</v>
      </c>
      <c r="H111" t="s">
        <v>90</v>
      </c>
      <c r="I111" s="1" t="s">
        <v>91</v>
      </c>
      <c r="J111"/>
      <c r="K111"/>
      <c r="L111"/>
      <c r="M111"/>
      <c r="N111"/>
    </row>
    <row r="112" spans="1:14" ht="16" hidden="1">
      <c r="A112" t="s">
        <v>13</v>
      </c>
      <c r="B112" t="s">
        <v>364</v>
      </c>
      <c r="C112" t="s">
        <v>43</v>
      </c>
      <c r="D112" t="s">
        <v>44</v>
      </c>
      <c r="E112" t="s">
        <v>365</v>
      </c>
      <c r="F112" t="s">
        <v>366</v>
      </c>
      <c r="G112" t="s">
        <v>19</v>
      </c>
      <c r="H112" t="s">
        <v>51</v>
      </c>
      <c r="I112" s="1" t="s">
        <v>103</v>
      </c>
      <c r="J112"/>
      <c r="K112"/>
      <c r="L112"/>
      <c r="M112"/>
      <c r="N112"/>
    </row>
    <row r="113" spans="1:14" ht="16" hidden="1">
      <c r="A113" t="s">
        <v>13</v>
      </c>
      <c r="B113" t="s">
        <v>14</v>
      </c>
      <c r="C113" t="s">
        <v>15</v>
      </c>
      <c r="D113" t="s">
        <v>16</v>
      </c>
      <c r="E113" t="s">
        <v>17</v>
      </c>
      <c r="F113" t="s">
        <v>367</v>
      </c>
      <c r="G113" t="s">
        <v>62</v>
      </c>
      <c r="H113" t="s">
        <v>232</v>
      </c>
      <c r="I113" s="1" t="s">
        <v>233</v>
      </c>
      <c r="J113"/>
      <c r="K113"/>
      <c r="L113"/>
      <c r="M113"/>
      <c r="N113"/>
    </row>
    <row r="114" spans="1:14" ht="64" hidden="1">
      <c r="A114" t="s">
        <v>13</v>
      </c>
      <c r="B114" t="s">
        <v>35</v>
      </c>
      <c r="C114" t="s">
        <v>28</v>
      </c>
      <c r="D114" t="s">
        <v>29</v>
      </c>
      <c r="E114" t="s">
        <v>36</v>
      </c>
      <c r="F114" t="s">
        <v>368</v>
      </c>
      <c r="G114" t="s">
        <v>62</v>
      </c>
      <c r="H114" t="s">
        <v>33</v>
      </c>
      <c r="I114" s="1" t="s">
        <v>38</v>
      </c>
      <c r="J114"/>
      <c r="K114"/>
      <c r="L114"/>
      <c r="M114"/>
      <c r="N114"/>
    </row>
    <row r="115" spans="1:14" ht="64" hidden="1">
      <c r="A115" t="s">
        <v>13</v>
      </c>
      <c r="B115" t="s">
        <v>369</v>
      </c>
      <c r="C115" t="s">
        <v>28</v>
      </c>
      <c r="D115" t="s">
        <v>29</v>
      </c>
      <c r="E115" t="s">
        <v>346</v>
      </c>
      <c r="F115" t="s">
        <v>370</v>
      </c>
      <c r="G115" t="s">
        <v>19</v>
      </c>
      <c r="H115" t="s">
        <v>290</v>
      </c>
      <c r="I115" s="1" t="s">
        <v>371</v>
      </c>
      <c r="J115"/>
      <c r="K115"/>
      <c r="L115"/>
      <c r="M115"/>
      <c r="N115"/>
    </row>
    <row r="116" spans="1:14" ht="96">
      <c r="A116" t="s">
        <v>13</v>
      </c>
      <c r="B116" t="s">
        <v>59</v>
      </c>
      <c r="C116" t="s">
        <v>28</v>
      </c>
      <c r="D116" t="s">
        <v>29</v>
      </c>
      <c r="E116" t="s">
        <v>60</v>
      </c>
      <c r="F116" t="s">
        <v>372</v>
      </c>
      <c r="G116" t="s">
        <v>19</v>
      </c>
      <c r="H116" s="11" t="s">
        <v>141</v>
      </c>
      <c r="I116" s="2" t="s">
        <v>373</v>
      </c>
      <c r="J116" s="4" t="s">
        <v>39</v>
      </c>
      <c r="K116" s="2" t="s">
        <v>374</v>
      </c>
      <c r="L116" s="2" t="str">
        <f>VLOOKUP(B116,Sheet2!F:Z,12,0)</f>
        <v>更换CPU</v>
      </c>
      <c r="M116" s="2" t="s">
        <v>41</v>
      </c>
      <c r="N116" s="3">
        <v>0</v>
      </c>
    </row>
    <row r="117" spans="1:14" ht="64" hidden="1">
      <c r="A117" t="s">
        <v>13</v>
      </c>
      <c r="B117" t="s">
        <v>375</v>
      </c>
      <c r="C117" t="s">
        <v>28</v>
      </c>
      <c r="D117" t="s">
        <v>29</v>
      </c>
      <c r="E117" t="s">
        <v>346</v>
      </c>
      <c r="F117" t="s">
        <v>376</v>
      </c>
      <c r="G117" t="s">
        <v>19</v>
      </c>
      <c r="H117" t="s">
        <v>377</v>
      </c>
      <c r="I117" s="1" t="s">
        <v>378</v>
      </c>
      <c r="J117"/>
      <c r="K117"/>
      <c r="L117"/>
      <c r="M117"/>
      <c r="N117"/>
    </row>
    <row r="118" spans="1:14" ht="16" hidden="1">
      <c r="A118" t="s">
        <v>13</v>
      </c>
      <c r="B118" t="s">
        <v>379</v>
      </c>
      <c r="C118" t="s">
        <v>43</v>
      </c>
      <c r="E118" t="s">
        <v>77</v>
      </c>
      <c r="F118" t="s">
        <v>380</v>
      </c>
      <c r="G118" t="s">
        <v>62</v>
      </c>
      <c r="H118" t="s">
        <v>90</v>
      </c>
      <c r="I118" s="1" t="s">
        <v>91</v>
      </c>
      <c r="J118"/>
      <c r="K118"/>
      <c r="L118"/>
      <c r="M118"/>
      <c r="N118"/>
    </row>
    <row r="119" spans="1:14" ht="96">
      <c r="A119" t="s">
        <v>13</v>
      </c>
      <c r="B119" t="s">
        <v>107</v>
      </c>
      <c r="C119" t="s">
        <v>28</v>
      </c>
      <c r="D119" t="s">
        <v>29</v>
      </c>
      <c r="E119" t="s">
        <v>83</v>
      </c>
      <c r="F119" t="s">
        <v>381</v>
      </c>
      <c r="G119" t="s">
        <v>19</v>
      </c>
      <c r="H119" s="11" t="s">
        <v>109</v>
      </c>
      <c r="I119" s="2" t="s">
        <v>382</v>
      </c>
      <c r="J119" s="4" t="s">
        <v>39</v>
      </c>
      <c r="K119" s="2" t="s">
        <v>383</v>
      </c>
      <c r="L119" s="2" t="str">
        <f>VLOOKUP(B119,Sheet2!F:Z,12,0)</f>
        <v>更换CPU</v>
      </c>
      <c r="M119" s="2" t="s">
        <v>41</v>
      </c>
      <c r="N119" s="3">
        <v>0</v>
      </c>
    </row>
    <row r="120" spans="1:14" ht="16" hidden="1">
      <c r="A120" t="s">
        <v>13</v>
      </c>
      <c r="B120" t="s">
        <v>238</v>
      </c>
      <c r="C120" t="s">
        <v>15</v>
      </c>
      <c r="D120" t="s">
        <v>16</v>
      </c>
      <c r="E120" t="s">
        <v>239</v>
      </c>
      <c r="F120" t="s">
        <v>384</v>
      </c>
      <c r="G120" t="s">
        <v>19</v>
      </c>
      <c r="H120" s="11" t="s">
        <v>385</v>
      </c>
      <c r="I120" s="2" t="s">
        <v>242</v>
      </c>
      <c r="J120" s="4" t="s">
        <v>39</v>
      </c>
      <c r="K120" s="2" t="s">
        <v>243</v>
      </c>
      <c r="L120" s="2" t="str">
        <f>VLOOKUP(B120,Sheet2!F:Z,12,0)</f>
        <v>重插CPU</v>
      </c>
      <c r="M120" s="2" t="s">
        <v>41</v>
      </c>
    </row>
    <row r="121" spans="1:14" ht="48" hidden="1">
      <c r="A121" t="s">
        <v>13</v>
      </c>
      <c r="B121" t="s">
        <v>386</v>
      </c>
      <c r="C121" t="s">
        <v>28</v>
      </c>
      <c r="D121" t="s">
        <v>29</v>
      </c>
      <c r="E121" t="s">
        <v>36</v>
      </c>
      <c r="F121" t="s">
        <v>387</v>
      </c>
      <c r="G121" t="s">
        <v>19</v>
      </c>
      <c r="H121" t="s">
        <v>137</v>
      </c>
      <c r="I121" s="1" t="s">
        <v>388</v>
      </c>
      <c r="J121"/>
      <c r="K121"/>
      <c r="L121"/>
      <c r="M121"/>
      <c r="N121"/>
    </row>
    <row r="122" spans="1:14" ht="96" hidden="1">
      <c r="A122" t="s">
        <v>13</v>
      </c>
      <c r="B122" t="s">
        <v>82</v>
      </c>
      <c r="C122" t="s">
        <v>28</v>
      </c>
      <c r="D122" t="s">
        <v>29</v>
      </c>
      <c r="E122" t="s">
        <v>83</v>
      </c>
      <c r="F122" t="s">
        <v>389</v>
      </c>
      <c r="G122" t="s">
        <v>32</v>
      </c>
      <c r="H122" s="11" t="s">
        <v>85</v>
      </c>
      <c r="I122" s="2" t="s">
        <v>1844</v>
      </c>
      <c r="J122" s="4" t="s">
        <v>39</v>
      </c>
      <c r="K122" s="2" t="s">
        <v>390</v>
      </c>
      <c r="L122" s="2" t="str">
        <f>VLOOKUP(B122,Sheet2!F:Z,12,0)</f>
        <v>重插数据线</v>
      </c>
      <c r="M122" s="2" t="s">
        <v>99</v>
      </c>
    </row>
    <row r="123" spans="1:14" ht="64" hidden="1">
      <c r="A123" t="s">
        <v>13</v>
      </c>
      <c r="B123" t="s">
        <v>131</v>
      </c>
      <c r="C123" t="s">
        <v>28</v>
      </c>
      <c r="D123" t="s">
        <v>29</v>
      </c>
      <c r="E123" t="s">
        <v>132</v>
      </c>
      <c r="F123" t="s">
        <v>391</v>
      </c>
      <c r="G123" t="s">
        <v>32</v>
      </c>
      <c r="H123" t="s">
        <v>33</v>
      </c>
      <c r="I123" s="1" t="s">
        <v>38</v>
      </c>
      <c r="J123"/>
      <c r="K123"/>
      <c r="L123"/>
      <c r="M123"/>
      <c r="N123"/>
    </row>
    <row r="124" spans="1:14" ht="64" hidden="1">
      <c r="A124" t="s">
        <v>13</v>
      </c>
      <c r="B124" t="s">
        <v>392</v>
      </c>
      <c r="C124" t="s">
        <v>28</v>
      </c>
      <c r="D124" t="s">
        <v>29</v>
      </c>
      <c r="E124" t="s">
        <v>77</v>
      </c>
      <c r="F124" t="s">
        <v>393</v>
      </c>
      <c r="G124" t="s">
        <v>19</v>
      </c>
      <c r="H124" t="s">
        <v>290</v>
      </c>
      <c r="I124" s="1" t="s">
        <v>394</v>
      </c>
      <c r="J124"/>
      <c r="K124"/>
      <c r="L124"/>
      <c r="M124"/>
      <c r="N124"/>
    </row>
    <row r="125" spans="1:14" ht="32" hidden="1">
      <c r="A125" t="s">
        <v>13</v>
      </c>
      <c r="B125" t="s">
        <v>392</v>
      </c>
      <c r="C125" t="s">
        <v>28</v>
      </c>
      <c r="D125" t="s">
        <v>29</v>
      </c>
      <c r="E125" t="s">
        <v>77</v>
      </c>
      <c r="F125" t="s">
        <v>395</v>
      </c>
      <c r="G125" t="s">
        <v>19</v>
      </c>
      <c r="H125" t="s">
        <v>290</v>
      </c>
      <c r="I125" s="1" t="s">
        <v>396</v>
      </c>
      <c r="J125"/>
      <c r="K125"/>
      <c r="L125"/>
      <c r="M125"/>
      <c r="N125"/>
    </row>
    <row r="126" spans="1:14" ht="64" hidden="1">
      <c r="A126" t="s">
        <v>13</v>
      </c>
      <c r="B126" t="s">
        <v>397</v>
      </c>
      <c r="C126" t="s">
        <v>43</v>
      </c>
      <c r="E126" t="s">
        <v>132</v>
      </c>
      <c r="F126" t="s">
        <v>398</v>
      </c>
      <c r="G126" t="s">
        <v>62</v>
      </c>
      <c r="H126" t="s">
        <v>90</v>
      </c>
      <c r="I126" s="1" t="s">
        <v>399</v>
      </c>
      <c r="J126"/>
      <c r="K126"/>
      <c r="L126"/>
      <c r="M126"/>
      <c r="N126"/>
    </row>
    <row r="127" spans="1:14" ht="96">
      <c r="A127" t="s">
        <v>13</v>
      </c>
      <c r="B127" t="s">
        <v>252</v>
      </c>
      <c r="C127" t="s">
        <v>28</v>
      </c>
      <c r="D127" t="s">
        <v>29</v>
      </c>
      <c r="E127" t="s">
        <v>132</v>
      </c>
      <c r="F127" t="s">
        <v>400</v>
      </c>
      <c r="G127" t="s">
        <v>32</v>
      </c>
      <c r="H127" s="11" t="s">
        <v>33</v>
      </c>
      <c r="I127" s="2" t="s">
        <v>1842</v>
      </c>
      <c r="J127" s="4" t="s">
        <v>39</v>
      </c>
      <c r="K127" s="2" t="s">
        <v>254</v>
      </c>
      <c r="L127" s="2" t="str">
        <f>VLOOKUP(B127,Sheet2!F:Z,12,0)</f>
        <v>更换数据线</v>
      </c>
      <c r="M127" s="2" t="s">
        <v>99</v>
      </c>
      <c r="N127" s="12">
        <v>0</v>
      </c>
    </row>
    <row r="128" spans="1:14" ht="96" hidden="1">
      <c r="A128" t="s">
        <v>13</v>
      </c>
      <c r="B128" t="s">
        <v>82</v>
      </c>
      <c r="C128" t="s">
        <v>28</v>
      </c>
      <c r="D128" t="s">
        <v>29</v>
      </c>
      <c r="E128" t="s">
        <v>83</v>
      </c>
      <c r="F128" t="s">
        <v>401</v>
      </c>
      <c r="G128" t="s">
        <v>32</v>
      </c>
      <c r="H128" s="11" t="s">
        <v>85</v>
      </c>
      <c r="I128" s="2" t="s">
        <v>1845</v>
      </c>
      <c r="J128" s="4" t="s">
        <v>39</v>
      </c>
      <c r="K128" s="2" t="s">
        <v>390</v>
      </c>
      <c r="L128" s="2" t="str">
        <f>VLOOKUP(B128,Sheet2!F:Z,12,0)</f>
        <v>重插数据线</v>
      </c>
      <c r="M128" s="2" t="s">
        <v>99</v>
      </c>
    </row>
    <row r="129" spans="1:14" ht="16" hidden="1">
      <c r="A129" t="s">
        <v>13</v>
      </c>
      <c r="B129" t="s">
        <v>238</v>
      </c>
      <c r="C129" t="s">
        <v>15</v>
      </c>
      <c r="D129" t="s">
        <v>16</v>
      </c>
      <c r="E129" t="s">
        <v>239</v>
      </c>
      <c r="F129" t="s">
        <v>402</v>
      </c>
      <c r="G129" t="s">
        <v>19</v>
      </c>
      <c r="H129" s="11" t="s">
        <v>241</v>
      </c>
      <c r="I129" s="2" t="s">
        <v>403</v>
      </c>
      <c r="J129" s="4" t="s">
        <v>39</v>
      </c>
      <c r="K129" s="2" t="s">
        <v>243</v>
      </c>
      <c r="L129" s="2" t="str">
        <f>VLOOKUP(B129,Sheet2!F:Z,12,0)</f>
        <v>重插CPU</v>
      </c>
      <c r="M129" s="2" t="s">
        <v>41</v>
      </c>
    </row>
    <row r="130" spans="1:14" ht="16" hidden="1">
      <c r="A130" t="s">
        <v>13</v>
      </c>
      <c r="B130" t="s">
        <v>93</v>
      </c>
      <c r="C130" t="s">
        <v>15</v>
      </c>
      <c r="D130" t="s">
        <v>16</v>
      </c>
      <c r="E130" t="s">
        <v>94</v>
      </c>
      <c r="F130" t="s">
        <v>404</v>
      </c>
      <c r="G130" t="s">
        <v>113</v>
      </c>
      <c r="H130" t="s">
        <v>405</v>
      </c>
      <c r="I130" s="1" t="s">
        <v>406</v>
      </c>
      <c r="J130"/>
      <c r="K130"/>
      <c r="L130"/>
      <c r="M130"/>
      <c r="N130"/>
    </row>
    <row r="131" spans="1:14" ht="16" hidden="1">
      <c r="A131" t="s">
        <v>13</v>
      </c>
      <c r="B131" t="s">
        <v>407</v>
      </c>
      <c r="C131" t="s">
        <v>43</v>
      </c>
      <c r="E131" t="s">
        <v>265</v>
      </c>
      <c r="F131" t="s">
        <v>408</v>
      </c>
      <c r="G131" t="s">
        <v>62</v>
      </c>
      <c r="H131" t="s">
        <v>90</v>
      </c>
      <c r="I131" s="1" t="s">
        <v>91</v>
      </c>
      <c r="J131"/>
      <c r="K131"/>
      <c r="L131"/>
      <c r="M131"/>
      <c r="N131"/>
    </row>
    <row r="132" spans="1:14" ht="16" hidden="1">
      <c r="A132" t="s">
        <v>13</v>
      </c>
      <c r="B132" t="s">
        <v>409</v>
      </c>
      <c r="C132" t="s">
        <v>43</v>
      </c>
      <c r="E132" t="s">
        <v>265</v>
      </c>
      <c r="F132" t="s">
        <v>410</v>
      </c>
      <c r="G132" t="s">
        <v>62</v>
      </c>
      <c r="H132" t="s">
        <v>90</v>
      </c>
      <c r="I132" s="1" t="s">
        <v>91</v>
      </c>
      <c r="J132"/>
      <c r="K132"/>
      <c r="L132"/>
      <c r="M132"/>
      <c r="N132"/>
    </row>
    <row r="133" spans="1:14" ht="16" hidden="1">
      <c r="A133" t="s">
        <v>13</v>
      </c>
      <c r="B133" t="s">
        <v>409</v>
      </c>
      <c r="C133" t="s">
        <v>43</v>
      </c>
      <c r="E133" t="s">
        <v>265</v>
      </c>
      <c r="F133" t="s">
        <v>411</v>
      </c>
      <c r="G133" t="s">
        <v>32</v>
      </c>
      <c r="H133" t="s">
        <v>90</v>
      </c>
      <c r="I133" s="1" t="s">
        <v>91</v>
      </c>
      <c r="J133"/>
      <c r="K133"/>
      <c r="L133"/>
      <c r="M133"/>
      <c r="N133"/>
    </row>
    <row r="134" spans="1:14" ht="64" hidden="1">
      <c r="A134" t="s">
        <v>13</v>
      </c>
      <c r="B134" t="s">
        <v>121</v>
      </c>
      <c r="C134" t="s">
        <v>122</v>
      </c>
      <c r="D134" t="s">
        <v>123</v>
      </c>
      <c r="E134" t="s">
        <v>124</v>
      </c>
      <c r="F134" t="s">
        <v>412</v>
      </c>
      <c r="G134" t="s">
        <v>19</v>
      </c>
      <c r="H134" t="s">
        <v>152</v>
      </c>
      <c r="I134" s="1" t="s">
        <v>288</v>
      </c>
      <c r="J134"/>
      <c r="K134"/>
      <c r="L134"/>
      <c r="M134"/>
      <c r="N134"/>
    </row>
    <row r="135" spans="1:14" ht="16" hidden="1">
      <c r="A135" t="s">
        <v>13</v>
      </c>
      <c r="B135" t="s">
        <v>413</v>
      </c>
      <c r="C135" t="s">
        <v>43</v>
      </c>
      <c r="E135" t="s">
        <v>265</v>
      </c>
      <c r="F135" t="s">
        <v>414</v>
      </c>
      <c r="G135" t="s">
        <v>62</v>
      </c>
      <c r="H135" t="s">
        <v>90</v>
      </c>
      <c r="I135" s="1" t="s">
        <v>91</v>
      </c>
      <c r="J135"/>
      <c r="K135"/>
      <c r="L135"/>
      <c r="M135"/>
      <c r="N135"/>
    </row>
    <row r="136" spans="1:14" ht="64" hidden="1">
      <c r="A136" t="s">
        <v>13</v>
      </c>
      <c r="B136" t="s">
        <v>415</v>
      </c>
      <c r="C136" t="s">
        <v>122</v>
      </c>
      <c r="D136" t="s">
        <v>123</v>
      </c>
      <c r="E136" t="s">
        <v>124</v>
      </c>
      <c r="F136" t="s">
        <v>416</v>
      </c>
      <c r="G136" t="s">
        <v>19</v>
      </c>
      <c r="H136" t="s">
        <v>417</v>
      </c>
      <c r="I136" s="1" t="s">
        <v>418</v>
      </c>
      <c r="J136"/>
      <c r="K136"/>
      <c r="L136"/>
      <c r="M136"/>
      <c r="N136"/>
    </row>
    <row r="137" spans="1:14" ht="64" hidden="1">
      <c r="A137" t="s">
        <v>13</v>
      </c>
      <c r="B137" t="s">
        <v>419</v>
      </c>
      <c r="C137" t="s">
        <v>28</v>
      </c>
      <c r="D137" t="s">
        <v>29</v>
      </c>
      <c r="E137" t="s">
        <v>132</v>
      </c>
      <c r="F137" t="s">
        <v>420</v>
      </c>
      <c r="G137" t="s">
        <v>19</v>
      </c>
      <c r="H137" t="s">
        <v>145</v>
      </c>
      <c r="I137" s="1" t="s">
        <v>421</v>
      </c>
      <c r="J137"/>
      <c r="K137"/>
      <c r="L137"/>
      <c r="M137"/>
      <c r="N137"/>
    </row>
    <row r="138" spans="1:14" ht="64" hidden="1">
      <c r="A138" t="s">
        <v>13</v>
      </c>
      <c r="B138" t="s">
        <v>422</v>
      </c>
      <c r="C138" t="s">
        <v>423</v>
      </c>
      <c r="D138" t="s">
        <v>424</v>
      </c>
      <c r="E138" t="s">
        <v>425</v>
      </c>
      <c r="F138" t="s">
        <v>426</v>
      </c>
      <c r="G138" t="s">
        <v>32</v>
      </c>
      <c r="H138" t="s">
        <v>152</v>
      </c>
      <c r="I138" s="1" t="s">
        <v>427</v>
      </c>
      <c r="J138"/>
      <c r="K138"/>
      <c r="L138"/>
      <c r="M138"/>
      <c r="N138"/>
    </row>
    <row r="139" spans="1:14" ht="96">
      <c r="A139" t="s">
        <v>13</v>
      </c>
      <c r="B139" t="s">
        <v>308</v>
      </c>
      <c r="C139" t="s">
        <v>28</v>
      </c>
      <c r="D139" t="s">
        <v>29</v>
      </c>
      <c r="E139" t="s">
        <v>30</v>
      </c>
      <c r="F139" t="s">
        <v>428</v>
      </c>
      <c r="G139" t="s">
        <v>19</v>
      </c>
      <c r="H139" s="11" t="s">
        <v>145</v>
      </c>
      <c r="I139" s="2" t="s">
        <v>1846</v>
      </c>
      <c r="J139" s="4" t="s">
        <v>39</v>
      </c>
      <c r="K139" s="2" t="s">
        <v>430</v>
      </c>
      <c r="L139" s="2" t="str">
        <f>VLOOKUP(B139,Sheet2!F:Z,12,0)</f>
        <v>更换内存</v>
      </c>
      <c r="M139" s="2" t="s">
        <v>99</v>
      </c>
      <c r="N139" s="12">
        <v>0</v>
      </c>
    </row>
    <row r="140" spans="1:14" ht="16" hidden="1">
      <c r="A140" t="s">
        <v>13</v>
      </c>
      <c r="B140" t="s">
        <v>431</v>
      </c>
      <c r="C140" t="s">
        <v>43</v>
      </c>
      <c r="E140" t="s">
        <v>70</v>
      </c>
      <c r="F140" t="s">
        <v>432</v>
      </c>
      <c r="G140" t="s">
        <v>62</v>
      </c>
      <c r="H140" t="s">
        <v>90</v>
      </c>
      <c r="I140" s="1" t="s">
        <v>91</v>
      </c>
      <c r="J140"/>
      <c r="K140"/>
      <c r="L140"/>
      <c r="M140"/>
      <c r="N140"/>
    </row>
    <row r="141" spans="1:14" ht="80">
      <c r="A141" t="s">
        <v>13</v>
      </c>
      <c r="B141" t="s">
        <v>73</v>
      </c>
      <c r="C141" t="s">
        <v>28</v>
      </c>
      <c r="D141" t="s">
        <v>29</v>
      </c>
      <c r="E141" t="s">
        <v>70</v>
      </c>
      <c r="F141" t="s">
        <v>433</v>
      </c>
      <c r="G141" t="s">
        <v>32</v>
      </c>
      <c r="H141" s="11" t="s">
        <v>67</v>
      </c>
      <c r="I141" s="2" t="s">
        <v>1847</v>
      </c>
      <c r="J141" s="4" t="s">
        <v>39</v>
      </c>
      <c r="K141" s="2" t="s">
        <v>435</v>
      </c>
      <c r="L141" s="2" t="str">
        <f>VLOOKUP(B141,Sheet2!F:Z,12,0)</f>
        <v>更换背板</v>
      </c>
      <c r="M141" s="2" t="s">
        <v>99</v>
      </c>
      <c r="N141" s="12">
        <v>0</v>
      </c>
    </row>
    <row r="142" spans="1:14" ht="80">
      <c r="A142" t="s">
        <v>13</v>
      </c>
      <c r="B142" t="s">
        <v>73</v>
      </c>
      <c r="C142" t="s">
        <v>28</v>
      </c>
      <c r="D142" t="s">
        <v>29</v>
      </c>
      <c r="E142" t="s">
        <v>70</v>
      </c>
      <c r="F142" t="s">
        <v>436</v>
      </c>
      <c r="G142" t="s">
        <v>32</v>
      </c>
      <c r="H142" s="11" t="s">
        <v>67</v>
      </c>
      <c r="I142" s="2" t="s">
        <v>1847</v>
      </c>
      <c r="J142" s="4" t="s">
        <v>39</v>
      </c>
      <c r="K142" s="2" t="s">
        <v>435</v>
      </c>
      <c r="L142" s="2" t="str">
        <f>VLOOKUP(B142,Sheet2!F:Z,12,0)</f>
        <v>更换背板</v>
      </c>
      <c r="M142" s="2" t="s">
        <v>99</v>
      </c>
      <c r="N142" s="12">
        <v>0</v>
      </c>
    </row>
    <row r="143" spans="1:14" ht="80">
      <c r="A143" t="s">
        <v>13</v>
      </c>
      <c r="B143" t="s">
        <v>73</v>
      </c>
      <c r="C143" t="s">
        <v>28</v>
      </c>
      <c r="D143" t="s">
        <v>29</v>
      </c>
      <c r="E143" t="s">
        <v>70</v>
      </c>
      <c r="F143" t="s">
        <v>437</v>
      </c>
      <c r="G143" t="s">
        <v>32</v>
      </c>
      <c r="H143" s="11" t="s">
        <v>67</v>
      </c>
      <c r="I143" s="2" t="s">
        <v>1847</v>
      </c>
      <c r="J143" s="4" t="s">
        <v>39</v>
      </c>
      <c r="K143" s="2" t="s">
        <v>435</v>
      </c>
      <c r="L143" s="2" t="str">
        <f>VLOOKUP(B143,Sheet2!F:Z,12,0)</f>
        <v>更换背板</v>
      </c>
      <c r="M143" s="2" t="s">
        <v>99</v>
      </c>
      <c r="N143" s="12">
        <v>0</v>
      </c>
    </row>
    <row r="144" spans="1:14" ht="16" hidden="1">
      <c r="A144" t="s">
        <v>13</v>
      </c>
      <c r="B144" t="s">
        <v>238</v>
      </c>
      <c r="C144" t="s">
        <v>15</v>
      </c>
      <c r="D144" t="s">
        <v>16</v>
      </c>
      <c r="E144" t="s">
        <v>239</v>
      </c>
      <c r="F144" t="s">
        <v>438</v>
      </c>
      <c r="G144" t="s">
        <v>19</v>
      </c>
      <c r="H144" s="11" t="s">
        <v>439</v>
      </c>
      <c r="I144" s="2" t="s">
        <v>440</v>
      </c>
      <c r="J144" s="4" t="s">
        <v>39</v>
      </c>
      <c r="K144" s="2" t="s">
        <v>243</v>
      </c>
      <c r="L144" s="2" t="str">
        <f>VLOOKUP(B144,Sheet2!F:Z,12,0)</f>
        <v>重插CPU</v>
      </c>
      <c r="M144" s="2" t="s">
        <v>41</v>
      </c>
    </row>
    <row r="145" spans="1:9" customFormat="1" ht="64" hidden="1">
      <c r="A145" t="s">
        <v>13</v>
      </c>
      <c r="B145" t="s">
        <v>441</v>
      </c>
      <c r="C145" t="s">
        <v>28</v>
      </c>
      <c r="D145" t="s">
        <v>29</v>
      </c>
      <c r="E145" t="s">
        <v>129</v>
      </c>
      <c r="F145" t="s">
        <v>442</v>
      </c>
      <c r="G145" t="s">
        <v>32</v>
      </c>
      <c r="H145" t="s">
        <v>33</v>
      </c>
      <c r="I145" s="1" t="s">
        <v>38</v>
      </c>
    </row>
    <row r="146" spans="1:9" customFormat="1" ht="64" hidden="1">
      <c r="A146" t="s">
        <v>13</v>
      </c>
      <c r="B146" t="s">
        <v>121</v>
      </c>
      <c r="C146" t="s">
        <v>122</v>
      </c>
      <c r="D146" t="s">
        <v>123</v>
      </c>
      <c r="E146" t="s">
        <v>124</v>
      </c>
      <c r="F146" t="s">
        <v>443</v>
      </c>
      <c r="G146" t="s">
        <v>19</v>
      </c>
      <c r="H146" t="s">
        <v>444</v>
      </c>
      <c r="I146" s="1" t="s">
        <v>445</v>
      </c>
    </row>
    <row r="147" spans="1:9" customFormat="1" ht="48" hidden="1">
      <c r="A147" t="s">
        <v>13</v>
      </c>
      <c r="B147" t="s">
        <v>446</v>
      </c>
      <c r="C147" t="s">
        <v>28</v>
      </c>
      <c r="D147" t="s">
        <v>29</v>
      </c>
      <c r="E147" t="s">
        <v>447</v>
      </c>
      <c r="F147" t="s">
        <v>448</v>
      </c>
      <c r="G147" t="s">
        <v>32</v>
      </c>
      <c r="H147" t="s">
        <v>33</v>
      </c>
      <c r="I147" s="1" t="s">
        <v>449</v>
      </c>
    </row>
    <row r="148" spans="1:9" customFormat="1" ht="48" hidden="1">
      <c r="A148" t="s">
        <v>13</v>
      </c>
      <c r="B148" t="s">
        <v>450</v>
      </c>
      <c r="C148" t="s">
        <v>28</v>
      </c>
      <c r="D148" t="s">
        <v>29</v>
      </c>
      <c r="E148" t="s">
        <v>129</v>
      </c>
      <c r="F148" t="s">
        <v>451</v>
      </c>
      <c r="G148" t="s">
        <v>32</v>
      </c>
      <c r="H148" t="s">
        <v>33</v>
      </c>
      <c r="I148" s="1" t="s">
        <v>452</v>
      </c>
    </row>
    <row r="149" spans="1:9" customFormat="1" ht="48" hidden="1">
      <c r="A149" t="s">
        <v>13</v>
      </c>
      <c r="B149" t="s">
        <v>453</v>
      </c>
      <c r="C149" t="s">
        <v>28</v>
      </c>
      <c r="D149" t="s">
        <v>29</v>
      </c>
      <c r="E149" t="s">
        <v>447</v>
      </c>
      <c r="F149" t="s">
        <v>454</v>
      </c>
      <c r="G149" t="s">
        <v>32</v>
      </c>
      <c r="H149" t="s">
        <v>33</v>
      </c>
      <c r="I149" s="1" t="s">
        <v>455</v>
      </c>
    </row>
    <row r="150" spans="1:9" customFormat="1" ht="64" hidden="1">
      <c r="A150" t="s">
        <v>13</v>
      </c>
      <c r="B150" t="s">
        <v>456</v>
      </c>
      <c r="C150" t="s">
        <v>28</v>
      </c>
      <c r="D150" t="s">
        <v>29</v>
      </c>
      <c r="E150" t="s">
        <v>70</v>
      </c>
      <c r="F150" t="s">
        <v>457</v>
      </c>
      <c r="G150" t="s">
        <v>19</v>
      </c>
      <c r="H150" t="s">
        <v>141</v>
      </c>
      <c r="I150" s="1" t="s">
        <v>458</v>
      </c>
    </row>
    <row r="151" spans="1:9" customFormat="1" ht="48" hidden="1">
      <c r="A151" t="s">
        <v>13</v>
      </c>
      <c r="B151" t="s">
        <v>459</v>
      </c>
      <c r="C151" t="s">
        <v>28</v>
      </c>
      <c r="D151" t="s">
        <v>29</v>
      </c>
      <c r="E151" t="s">
        <v>129</v>
      </c>
      <c r="F151" t="s">
        <v>460</v>
      </c>
      <c r="G151" t="s">
        <v>32</v>
      </c>
      <c r="H151" t="s">
        <v>33</v>
      </c>
      <c r="I151" s="1" t="s">
        <v>461</v>
      </c>
    </row>
    <row r="152" spans="1:9" customFormat="1" ht="48" hidden="1">
      <c r="A152" t="s">
        <v>13</v>
      </c>
      <c r="B152" t="s">
        <v>446</v>
      </c>
      <c r="C152" t="s">
        <v>28</v>
      </c>
      <c r="D152" t="s">
        <v>29</v>
      </c>
      <c r="E152" t="s">
        <v>447</v>
      </c>
      <c r="F152" t="s">
        <v>462</v>
      </c>
      <c r="G152" t="s">
        <v>32</v>
      </c>
      <c r="H152" t="s">
        <v>33</v>
      </c>
      <c r="I152" s="1" t="s">
        <v>463</v>
      </c>
    </row>
    <row r="153" spans="1:9" customFormat="1" ht="64" hidden="1">
      <c r="A153" t="s">
        <v>13</v>
      </c>
      <c r="B153" t="s">
        <v>464</v>
      </c>
      <c r="C153" t="s">
        <v>28</v>
      </c>
      <c r="D153" t="s">
        <v>29</v>
      </c>
      <c r="E153" t="s">
        <v>132</v>
      </c>
      <c r="F153" t="s">
        <v>465</v>
      </c>
      <c r="G153" t="s">
        <v>19</v>
      </c>
      <c r="H153" t="s">
        <v>137</v>
      </c>
      <c r="I153" s="1" t="s">
        <v>466</v>
      </c>
    </row>
    <row r="154" spans="1:9" customFormat="1" ht="16" hidden="1">
      <c r="A154" t="s">
        <v>13</v>
      </c>
      <c r="B154" t="s">
        <v>467</v>
      </c>
      <c r="C154" t="s">
        <v>43</v>
      </c>
      <c r="E154" t="s">
        <v>132</v>
      </c>
      <c r="F154" t="s">
        <v>468</v>
      </c>
      <c r="G154" t="s">
        <v>62</v>
      </c>
      <c r="H154" t="s">
        <v>90</v>
      </c>
      <c r="I154" s="1" t="s">
        <v>91</v>
      </c>
    </row>
    <row r="155" spans="1:9" customFormat="1" ht="16" hidden="1">
      <c r="A155" t="s">
        <v>13</v>
      </c>
      <c r="B155" t="s">
        <v>469</v>
      </c>
      <c r="C155" t="s">
        <v>43</v>
      </c>
      <c r="D155" t="s">
        <v>44</v>
      </c>
      <c r="E155" t="s">
        <v>365</v>
      </c>
      <c r="F155" t="s">
        <v>470</v>
      </c>
      <c r="G155" t="s">
        <v>19</v>
      </c>
      <c r="H155" t="s">
        <v>169</v>
      </c>
      <c r="I155" s="1" t="s">
        <v>471</v>
      </c>
    </row>
    <row r="156" spans="1:9" customFormat="1" ht="80" hidden="1">
      <c r="A156" t="s">
        <v>13</v>
      </c>
      <c r="B156" t="s">
        <v>472</v>
      </c>
      <c r="C156" t="s">
        <v>28</v>
      </c>
      <c r="D156" t="s">
        <v>29</v>
      </c>
      <c r="E156" t="s">
        <v>70</v>
      </c>
      <c r="F156" t="s">
        <v>473</v>
      </c>
      <c r="G156" t="s">
        <v>19</v>
      </c>
      <c r="H156" t="s">
        <v>85</v>
      </c>
      <c r="I156" s="1" t="s">
        <v>474</v>
      </c>
    </row>
    <row r="157" spans="1:9" customFormat="1" ht="64" hidden="1">
      <c r="A157" t="s">
        <v>13</v>
      </c>
      <c r="B157" t="s">
        <v>475</v>
      </c>
      <c r="C157" t="s">
        <v>28</v>
      </c>
      <c r="D157" t="s">
        <v>29</v>
      </c>
      <c r="E157" t="s">
        <v>70</v>
      </c>
      <c r="F157" t="s">
        <v>476</v>
      </c>
      <c r="G157" t="s">
        <v>19</v>
      </c>
      <c r="H157" t="s">
        <v>145</v>
      </c>
      <c r="I157" s="1" t="s">
        <v>477</v>
      </c>
    </row>
    <row r="158" spans="1:9" customFormat="1" ht="16" hidden="1">
      <c r="A158" t="s">
        <v>13</v>
      </c>
      <c r="B158" t="s">
        <v>478</v>
      </c>
      <c r="C158" t="s">
        <v>28</v>
      </c>
      <c r="D158" t="s">
        <v>29</v>
      </c>
      <c r="E158" t="s">
        <v>265</v>
      </c>
      <c r="F158" t="s">
        <v>479</v>
      </c>
      <c r="G158" t="s">
        <v>19</v>
      </c>
      <c r="H158" t="s">
        <v>137</v>
      </c>
      <c r="I158" s="1" t="s">
        <v>480</v>
      </c>
    </row>
    <row r="159" spans="1:9" customFormat="1" ht="32" hidden="1">
      <c r="A159" t="s">
        <v>13</v>
      </c>
      <c r="B159" t="s">
        <v>481</v>
      </c>
      <c r="C159" t="s">
        <v>28</v>
      </c>
      <c r="D159" t="s">
        <v>29</v>
      </c>
      <c r="E159" t="s">
        <v>70</v>
      </c>
      <c r="F159" t="s">
        <v>482</v>
      </c>
      <c r="G159" t="s">
        <v>19</v>
      </c>
      <c r="H159" t="s">
        <v>109</v>
      </c>
      <c r="I159" s="1" t="s">
        <v>483</v>
      </c>
    </row>
    <row r="160" spans="1:9" customFormat="1" ht="64" hidden="1">
      <c r="A160" t="s">
        <v>13</v>
      </c>
      <c r="B160" t="s">
        <v>297</v>
      </c>
      <c r="C160" t="s">
        <v>28</v>
      </c>
      <c r="D160" t="s">
        <v>29</v>
      </c>
      <c r="E160" t="s">
        <v>129</v>
      </c>
      <c r="F160" t="s">
        <v>484</v>
      </c>
      <c r="G160" t="s">
        <v>19</v>
      </c>
      <c r="H160" t="s">
        <v>137</v>
      </c>
      <c r="I160" s="1" t="s">
        <v>38</v>
      </c>
    </row>
    <row r="161" spans="1:14" ht="48" hidden="1">
      <c r="A161" t="s">
        <v>13</v>
      </c>
      <c r="B161" t="s">
        <v>485</v>
      </c>
      <c r="C161" t="s">
        <v>28</v>
      </c>
      <c r="D161" t="s">
        <v>29</v>
      </c>
      <c r="E161" t="s">
        <v>70</v>
      </c>
      <c r="F161" t="s">
        <v>486</v>
      </c>
      <c r="G161" t="s">
        <v>19</v>
      </c>
      <c r="H161" t="s">
        <v>137</v>
      </c>
      <c r="I161" s="1" t="s">
        <v>487</v>
      </c>
      <c r="J161"/>
      <c r="K161"/>
      <c r="L161"/>
      <c r="M161"/>
      <c r="N161"/>
    </row>
    <row r="162" spans="1:14" ht="16" hidden="1">
      <c r="A162" t="s">
        <v>13</v>
      </c>
      <c r="B162" t="s">
        <v>238</v>
      </c>
      <c r="C162" t="s">
        <v>15</v>
      </c>
      <c r="D162" t="s">
        <v>16</v>
      </c>
      <c r="E162" t="s">
        <v>239</v>
      </c>
      <c r="F162" t="s">
        <v>488</v>
      </c>
      <c r="G162" t="s">
        <v>19</v>
      </c>
      <c r="H162" s="11" t="s">
        <v>439</v>
      </c>
      <c r="I162" s="2" t="s">
        <v>489</v>
      </c>
      <c r="J162" s="4" t="s">
        <v>39</v>
      </c>
      <c r="K162" s="2" t="s">
        <v>243</v>
      </c>
      <c r="L162" s="2" t="str">
        <f>VLOOKUP(B162,Sheet2!F:Z,12,0)</f>
        <v>重插CPU</v>
      </c>
      <c r="M162" s="2" t="s">
        <v>41</v>
      </c>
    </row>
    <row r="163" spans="1:14" ht="64" hidden="1">
      <c r="A163" t="s">
        <v>13</v>
      </c>
      <c r="B163" t="s">
        <v>121</v>
      </c>
      <c r="C163" t="s">
        <v>122</v>
      </c>
      <c r="D163" t="s">
        <v>123</v>
      </c>
      <c r="E163" t="s">
        <v>124</v>
      </c>
      <c r="F163" t="s">
        <v>490</v>
      </c>
      <c r="G163" t="s">
        <v>19</v>
      </c>
      <c r="H163" t="s">
        <v>152</v>
      </c>
      <c r="I163" s="1" t="s">
        <v>491</v>
      </c>
      <c r="J163"/>
      <c r="K163"/>
      <c r="L163"/>
      <c r="M163"/>
      <c r="N163"/>
    </row>
    <row r="164" spans="1:14" ht="64" hidden="1">
      <c r="A164" t="s">
        <v>13</v>
      </c>
      <c r="B164" t="s">
        <v>121</v>
      </c>
      <c r="C164" t="s">
        <v>122</v>
      </c>
      <c r="D164" t="s">
        <v>123</v>
      </c>
      <c r="E164" t="s">
        <v>124</v>
      </c>
      <c r="F164" t="s">
        <v>492</v>
      </c>
      <c r="G164" t="s">
        <v>19</v>
      </c>
      <c r="H164" t="s">
        <v>444</v>
      </c>
      <c r="I164" s="1" t="s">
        <v>493</v>
      </c>
      <c r="J164"/>
      <c r="K164"/>
      <c r="L164"/>
      <c r="M164"/>
      <c r="N164"/>
    </row>
    <row r="165" spans="1:14" ht="64" hidden="1">
      <c r="A165" t="s">
        <v>13</v>
      </c>
      <c r="B165" t="s">
        <v>216</v>
      </c>
      <c r="C165" t="s">
        <v>28</v>
      </c>
      <c r="D165" t="s">
        <v>29</v>
      </c>
      <c r="E165" t="s">
        <v>129</v>
      </c>
      <c r="F165" t="s">
        <v>494</v>
      </c>
      <c r="G165" t="s">
        <v>32</v>
      </c>
      <c r="H165" t="s">
        <v>33</v>
      </c>
      <c r="I165" s="1" t="s">
        <v>38</v>
      </c>
      <c r="J165"/>
      <c r="K165"/>
      <c r="L165"/>
      <c r="M165"/>
      <c r="N165"/>
    </row>
    <row r="166" spans="1:14" ht="64" hidden="1">
      <c r="A166" t="s">
        <v>13</v>
      </c>
      <c r="B166" t="s">
        <v>121</v>
      </c>
      <c r="C166" t="s">
        <v>122</v>
      </c>
      <c r="D166" t="s">
        <v>123</v>
      </c>
      <c r="E166" t="s">
        <v>124</v>
      </c>
      <c r="F166" t="s">
        <v>495</v>
      </c>
      <c r="G166" t="s">
        <v>19</v>
      </c>
      <c r="H166" t="s">
        <v>444</v>
      </c>
      <c r="I166" s="1" t="s">
        <v>493</v>
      </c>
      <c r="J166"/>
      <c r="K166"/>
      <c r="L166"/>
      <c r="M166"/>
      <c r="N166"/>
    </row>
    <row r="167" spans="1:14" ht="48" hidden="1">
      <c r="A167" t="s">
        <v>13</v>
      </c>
      <c r="B167" t="s">
        <v>496</v>
      </c>
      <c r="C167" t="s">
        <v>28</v>
      </c>
      <c r="D167" t="s">
        <v>29</v>
      </c>
      <c r="E167" t="s">
        <v>70</v>
      </c>
      <c r="F167" t="s">
        <v>497</v>
      </c>
      <c r="G167" t="s">
        <v>32</v>
      </c>
      <c r="H167" t="s">
        <v>33</v>
      </c>
      <c r="I167" s="1" t="s">
        <v>498</v>
      </c>
      <c r="J167"/>
      <c r="K167"/>
      <c r="L167"/>
      <c r="M167"/>
      <c r="N167"/>
    </row>
    <row r="168" spans="1:14" ht="32">
      <c r="A168" t="s">
        <v>13</v>
      </c>
      <c r="B168" t="s">
        <v>499</v>
      </c>
      <c r="C168" t="s">
        <v>222</v>
      </c>
      <c r="D168" t="s">
        <v>223</v>
      </c>
      <c r="E168" t="s">
        <v>224</v>
      </c>
      <c r="F168" t="s">
        <v>500</v>
      </c>
      <c r="G168" t="s">
        <v>19</v>
      </c>
      <c r="H168" s="11" t="s">
        <v>501</v>
      </c>
      <c r="I168" s="2" t="s">
        <v>502</v>
      </c>
      <c r="J168" s="4" t="s">
        <v>39</v>
      </c>
      <c r="K168" s="2" t="s">
        <v>503</v>
      </c>
      <c r="L168" s="2" t="str">
        <f>VLOOKUP(B168,Sheet2!F:Z,12,0)</f>
        <v>重插CPU</v>
      </c>
      <c r="M168" s="2" t="s">
        <v>41</v>
      </c>
      <c r="N168" s="12">
        <v>0</v>
      </c>
    </row>
    <row r="169" spans="1:14" ht="64" hidden="1">
      <c r="A169" t="s">
        <v>13</v>
      </c>
      <c r="B169" t="s">
        <v>228</v>
      </c>
      <c r="C169" t="s">
        <v>28</v>
      </c>
      <c r="D169" t="s">
        <v>29</v>
      </c>
      <c r="E169" t="s">
        <v>129</v>
      </c>
      <c r="F169" t="s">
        <v>504</v>
      </c>
      <c r="G169" t="s">
        <v>32</v>
      </c>
      <c r="H169" t="s">
        <v>33</v>
      </c>
      <c r="I169" s="1" t="s">
        <v>38</v>
      </c>
      <c r="J169"/>
      <c r="K169"/>
      <c r="L169"/>
      <c r="M169"/>
      <c r="N169"/>
    </row>
    <row r="170" spans="1:14" ht="16" hidden="1">
      <c r="A170" t="s">
        <v>13</v>
      </c>
      <c r="B170" t="s">
        <v>478</v>
      </c>
      <c r="C170" t="s">
        <v>28</v>
      </c>
      <c r="D170" t="s">
        <v>29</v>
      </c>
      <c r="E170" t="s">
        <v>265</v>
      </c>
      <c r="F170" t="s">
        <v>505</v>
      </c>
      <c r="G170" t="s">
        <v>19</v>
      </c>
      <c r="H170" t="s">
        <v>290</v>
      </c>
      <c r="I170" s="1" t="s">
        <v>506</v>
      </c>
      <c r="J170"/>
      <c r="K170"/>
      <c r="L170"/>
      <c r="M170"/>
      <c r="N170"/>
    </row>
    <row r="171" spans="1:14" ht="16" hidden="1">
      <c r="A171" t="s">
        <v>13</v>
      </c>
      <c r="B171" t="s">
        <v>507</v>
      </c>
      <c r="C171" t="s">
        <v>222</v>
      </c>
      <c r="D171" t="s">
        <v>223</v>
      </c>
      <c r="E171" t="s">
        <v>224</v>
      </c>
      <c r="F171" t="s">
        <v>508</v>
      </c>
      <c r="G171" t="s">
        <v>19</v>
      </c>
      <c r="H171" t="s">
        <v>509</v>
      </c>
      <c r="I171" s="1" t="s">
        <v>510</v>
      </c>
      <c r="J171"/>
      <c r="K171"/>
      <c r="L171"/>
      <c r="M171"/>
      <c r="N171"/>
    </row>
    <row r="172" spans="1:14" ht="48" hidden="1">
      <c r="A172" t="s">
        <v>13</v>
      </c>
      <c r="B172" t="s">
        <v>511</v>
      </c>
      <c r="C172" t="s">
        <v>28</v>
      </c>
      <c r="D172" t="s">
        <v>29</v>
      </c>
      <c r="E172" t="s">
        <v>129</v>
      </c>
      <c r="F172" t="s">
        <v>512</v>
      </c>
      <c r="G172" t="s">
        <v>32</v>
      </c>
      <c r="H172" t="s">
        <v>33</v>
      </c>
      <c r="I172" s="1" t="s">
        <v>513</v>
      </c>
      <c r="J172"/>
      <c r="K172"/>
      <c r="L172"/>
      <c r="M172"/>
      <c r="N172"/>
    </row>
    <row r="173" spans="1:14" ht="64" hidden="1">
      <c r="A173" t="s">
        <v>13</v>
      </c>
      <c r="B173" t="s">
        <v>472</v>
      </c>
      <c r="C173" t="s">
        <v>28</v>
      </c>
      <c r="D173" t="s">
        <v>29</v>
      </c>
      <c r="E173" t="s">
        <v>70</v>
      </c>
      <c r="F173" t="s">
        <v>514</v>
      </c>
      <c r="G173" t="s">
        <v>19</v>
      </c>
      <c r="H173" t="s">
        <v>85</v>
      </c>
      <c r="I173" s="1" t="s">
        <v>515</v>
      </c>
      <c r="J173"/>
      <c r="K173"/>
      <c r="L173"/>
      <c r="M173"/>
      <c r="N173"/>
    </row>
    <row r="174" spans="1:14" ht="96">
      <c r="A174" t="s">
        <v>13</v>
      </c>
      <c r="B174" t="s">
        <v>516</v>
      </c>
      <c r="C174" t="s">
        <v>122</v>
      </c>
      <c r="D174" t="s">
        <v>123</v>
      </c>
      <c r="E174" t="s">
        <v>124</v>
      </c>
      <c r="F174" t="s">
        <v>517</v>
      </c>
      <c r="G174" t="s">
        <v>32</v>
      </c>
      <c r="H174" s="11" t="s">
        <v>152</v>
      </c>
      <c r="I174" s="2" t="s">
        <v>1848</v>
      </c>
      <c r="J174" s="4" t="s">
        <v>39</v>
      </c>
      <c r="K174" s="2" t="s">
        <v>519</v>
      </c>
      <c r="L174" s="2" t="str">
        <f>VLOOKUP(B174,Sheet2!F:Z,12,0)</f>
        <v>重插数据线</v>
      </c>
      <c r="M174" s="2" t="s">
        <v>41</v>
      </c>
      <c r="N174" s="12">
        <v>0</v>
      </c>
    </row>
    <row r="175" spans="1:14" ht="96">
      <c r="A175" t="s">
        <v>13</v>
      </c>
      <c r="B175" t="s">
        <v>252</v>
      </c>
      <c r="C175" t="s">
        <v>28</v>
      </c>
      <c r="D175" t="s">
        <v>29</v>
      </c>
      <c r="E175" t="s">
        <v>132</v>
      </c>
      <c r="F175" t="s">
        <v>520</v>
      </c>
      <c r="G175" t="s">
        <v>32</v>
      </c>
      <c r="H175" s="11" t="s">
        <v>33</v>
      </c>
      <c r="I175" s="2" t="s">
        <v>38</v>
      </c>
      <c r="J175" s="4" t="s">
        <v>39</v>
      </c>
      <c r="K175" s="2" t="s">
        <v>254</v>
      </c>
      <c r="L175" s="2" t="str">
        <f>VLOOKUP(B175,Sheet2!F:Z,12,0)</f>
        <v>更换数据线</v>
      </c>
      <c r="M175" s="2" t="s">
        <v>99</v>
      </c>
      <c r="N175" s="12">
        <v>0</v>
      </c>
    </row>
    <row r="176" spans="1:14" ht="48" hidden="1">
      <c r="A176" t="s">
        <v>13</v>
      </c>
      <c r="B176" t="s">
        <v>521</v>
      </c>
      <c r="C176" t="s">
        <v>28</v>
      </c>
      <c r="D176" t="s">
        <v>29</v>
      </c>
      <c r="E176" t="s">
        <v>30</v>
      </c>
      <c r="F176" t="s">
        <v>522</v>
      </c>
      <c r="G176" t="s">
        <v>19</v>
      </c>
      <c r="H176" t="s">
        <v>214</v>
      </c>
      <c r="I176" s="1" t="s">
        <v>523</v>
      </c>
      <c r="J176"/>
      <c r="K176"/>
      <c r="L176"/>
      <c r="M176"/>
      <c r="N176"/>
    </row>
    <row r="177" spans="1:14" ht="64" hidden="1">
      <c r="A177" t="s">
        <v>13</v>
      </c>
      <c r="B177" t="s">
        <v>413</v>
      </c>
      <c r="C177" t="s">
        <v>43</v>
      </c>
      <c r="E177" t="s">
        <v>265</v>
      </c>
      <c r="F177" t="s">
        <v>524</v>
      </c>
      <c r="G177" t="s">
        <v>62</v>
      </c>
      <c r="H177" t="s">
        <v>90</v>
      </c>
      <c r="I177" s="1" t="s">
        <v>525</v>
      </c>
      <c r="J177"/>
      <c r="K177"/>
      <c r="L177"/>
      <c r="M177"/>
      <c r="N177"/>
    </row>
    <row r="178" spans="1:14" ht="64" hidden="1">
      <c r="A178" t="s">
        <v>13</v>
      </c>
      <c r="B178" t="s">
        <v>526</v>
      </c>
      <c r="C178" t="s">
        <v>28</v>
      </c>
      <c r="D178" t="s">
        <v>29</v>
      </c>
      <c r="E178" t="s">
        <v>132</v>
      </c>
      <c r="F178" t="s">
        <v>527</v>
      </c>
      <c r="G178" t="s">
        <v>19</v>
      </c>
      <c r="H178" t="s">
        <v>290</v>
      </c>
      <c r="I178" s="1" t="s">
        <v>528</v>
      </c>
      <c r="J178"/>
      <c r="K178"/>
      <c r="L178"/>
      <c r="M178"/>
      <c r="N178"/>
    </row>
    <row r="179" spans="1:14" ht="16" hidden="1">
      <c r="A179" t="s">
        <v>13</v>
      </c>
      <c r="B179" t="s">
        <v>431</v>
      </c>
      <c r="C179" t="s">
        <v>43</v>
      </c>
      <c r="E179" t="s">
        <v>70</v>
      </c>
      <c r="F179" t="s">
        <v>529</v>
      </c>
      <c r="G179" t="s">
        <v>62</v>
      </c>
      <c r="H179" t="s">
        <v>90</v>
      </c>
      <c r="I179" s="1" t="s">
        <v>91</v>
      </c>
      <c r="J179"/>
      <c r="K179"/>
      <c r="L179"/>
      <c r="M179"/>
      <c r="N179"/>
    </row>
    <row r="180" spans="1:14" ht="16" hidden="1">
      <c r="A180" t="s">
        <v>13</v>
      </c>
      <c r="B180" t="s">
        <v>453</v>
      </c>
      <c r="C180" t="s">
        <v>28</v>
      </c>
      <c r="D180" t="s">
        <v>29</v>
      </c>
      <c r="E180" t="s">
        <v>447</v>
      </c>
      <c r="F180" t="s">
        <v>530</v>
      </c>
      <c r="G180" t="s">
        <v>32</v>
      </c>
      <c r="H180" t="s">
        <v>33</v>
      </c>
      <c r="I180" s="1" t="s">
        <v>531</v>
      </c>
      <c r="J180"/>
      <c r="K180"/>
      <c r="L180"/>
      <c r="M180"/>
      <c r="N180"/>
    </row>
    <row r="181" spans="1:14" ht="48">
      <c r="A181" t="s">
        <v>13</v>
      </c>
      <c r="B181" t="s">
        <v>499</v>
      </c>
      <c r="C181" t="s">
        <v>222</v>
      </c>
      <c r="D181" t="s">
        <v>223</v>
      </c>
      <c r="E181" t="s">
        <v>224</v>
      </c>
      <c r="F181" t="s">
        <v>532</v>
      </c>
      <c r="G181" t="s">
        <v>19</v>
      </c>
      <c r="H181" s="11" t="s">
        <v>501</v>
      </c>
      <c r="I181" s="2" t="s">
        <v>533</v>
      </c>
      <c r="J181" s="4" t="s">
        <v>39</v>
      </c>
      <c r="K181" s="2" t="s">
        <v>503</v>
      </c>
      <c r="L181" s="2" t="str">
        <f>VLOOKUP(B181,Sheet2!F:Z,12,0)</f>
        <v>重插CPU</v>
      </c>
      <c r="M181" s="2" t="s">
        <v>41</v>
      </c>
      <c r="N181" s="12">
        <v>0</v>
      </c>
    </row>
    <row r="182" spans="1:14" ht="64" hidden="1">
      <c r="A182" t="s">
        <v>13</v>
      </c>
      <c r="B182" t="s">
        <v>534</v>
      </c>
      <c r="C182" t="s">
        <v>28</v>
      </c>
      <c r="D182" t="s">
        <v>29</v>
      </c>
      <c r="E182" t="s">
        <v>129</v>
      </c>
      <c r="F182" t="s">
        <v>535</v>
      </c>
      <c r="G182" t="s">
        <v>32</v>
      </c>
      <c r="H182" t="s">
        <v>33</v>
      </c>
      <c r="I182" s="1" t="s">
        <v>536</v>
      </c>
      <c r="J182"/>
      <c r="K182"/>
      <c r="L182"/>
      <c r="M182"/>
      <c r="N182"/>
    </row>
    <row r="183" spans="1:14" ht="16" hidden="1">
      <c r="A183" t="s">
        <v>13</v>
      </c>
      <c r="B183" t="s">
        <v>537</v>
      </c>
      <c r="C183" t="s">
        <v>222</v>
      </c>
      <c r="D183" t="s">
        <v>223</v>
      </c>
      <c r="E183" t="s">
        <v>224</v>
      </c>
      <c r="F183" t="s">
        <v>538</v>
      </c>
      <c r="G183" t="s">
        <v>19</v>
      </c>
      <c r="H183" t="s">
        <v>501</v>
      </c>
      <c r="I183" s="1" t="s">
        <v>539</v>
      </c>
      <c r="J183"/>
      <c r="K183"/>
      <c r="L183"/>
      <c r="M183"/>
      <c r="N183"/>
    </row>
    <row r="184" spans="1:14" ht="64" hidden="1">
      <c r="A184" t="s">
        <v>13</v>
      </c>
      <c r="B184" t="s">
        <v>540</v>
      </c>
      <c r="C184" t="s">
        <v>28</v>
      </c>
      <c r="D184" t="s">
        <v>29</v>
      </c>
      <c r="E184" t="s">
        <v>30</v>
      </c>
      <c r="F184" t="s">
        <v>541</v>
      </c>
      <c r="G184" t="s">
        <v>19</v>
      </c>
      <c r="H184" t="s">
        <v>290</v>
      </c>
      <c r="I184" s="1" t="s">
        <v>542</v>
      </c>
      <c r="J184"/>
      <c r="K184"/>
      <c r="L184"/>
      <c r="M184"/>
      <c r="N184"/>
    </row>
    <row r="185" spans="1:14" ht="64" hidden="1">
      <c r="A185" t="s">
        <v>13</v>
      </c>
      <c r="B185" t="s">
        <v>543</v>
      </c>
      <c r="C185" t="s">
        <v>43</v>
      </c>
      <c r="E185" t="s">
        <v>77</v>
      </c>
      <c r="F185" t="s">
        <v>544</v>
      </c>
      <c r="G185" t="s">
        <v>32</v>
      </c>
      <c r="H185" t="s">
        <v>90</v>
      </c>
      <c r="I185" s="1" t="s">
        <v>545</v>
      </c>
      <c r="J185"/>
      <c r="K185"/>
      <c r="L185"/>
      <c r="M185"/>
      <c r="N185"/>
    </row>
    <row r="186" spans="1:14" ht="96" hidden="1">
      <c r="A186" t="s">
        <v>13</v>
      </c>
      <c r="B186" t="s">
        <v>546</v>
      </c>
      <c r="C186" t="s">
        <v>148</v>
      </c>
      <c r="D186" t="s">
        <v>149</v>
      </c>
      <c r="E186" t="s">
        <v>195</v>
      </c>
      <c r="F186" t="s">
        <v>547</v>
      </c>
      <c r="G186" t="s">
        <v>19</v>
      </c>
      <c r="H186" s="11" t="s">
        <v>63</v>
      </c>
      <c r="I186" s="2" t="s">
        <v>548</v>
      </c>
      <c r="J186" s="4" t="s">
        <v>39</v>
      </c>
      <c r="K186" s="2" t="s">
        <v>549</v>
      </c>
      <c r="L186" s="2" t="str">
        <f>VLOOKUP(B186,Sheet2!F:Z,12,0)</f>
        <v>更换硬盘</v>
      </c>
      <c r="M186" s="2" t="s">
        <v>41</v>
      </c>
    </row>
    <row r="187" spans="1:14" ht="48" hidden="1">
      <c r="A187" t="s">
        <v>13</v>
      </c>
      <c r="B187" t="s">
        <v>550</v>
      </c>
      <c r="C187" t="s">
        <v>28</v>
      </c>
      <c r="D187" t="s">
        <v>29</v>
      </c>
      <c r="E187" t="s">
        <v>36</v>
      </c>
      <c r="F187" t="s">
        <v>551</v>
      </c>
      <c r="G187" t="s">
        <v>32</v>
      </c>
      <c r="H187" t="s">
        <v>33</v>
      </c>
      <c r="I187" s="1" t="s">
        <v>552</v>
      </c>
      <c r="J187"/>
      <c r="K187"/>
      <c r="L187"/>
      <c r="M187"/>
      <c r="N187"/>
    </row>
    <row r="188" spans="1:14" ht="16" hidden="1">
      <c r="A188" t="s">
        <v>13</v>
      </c>
      <c r="B188" t="s">
        <v>553</v>
      </c>
      <c r="C188" t="s">
        <v>43</v>
      </c>
      <c r="D188" t="s">
        <v>44</v>
      </c>
      <c r="E188" t="s">
        <v>45</v>
      </c>
      <c r="F188" t="s">
        <v>554</v>
      </c>
      <c r="G188" t="s">
        <v>113</v>
      </c>
      <c r="H188" t="s">
        <v>555</v>
      </c>
      <c r="I188" s="1" t="s">
        <v>556</v>
      </c>
      <c r="J188"/>
      <c r="K188"/>
      <c r="L188"/>
      <c r="M188"/>
      <c r="N188"/>
    </row>
    <row r="189" spans="1:14" ht="64" hidden="1">
      <c r="A189" t="s">
        <v>13</v>
      </c>
      <c r="B189" t="s">
        <v>557</v>
      </c>
      <c r="C189" t="s">
        <v>28</v>
      </c>
      <c r="D189" t="s">
        <v>29</v>
      </c>
      <c r="E189" t="s">
        <v>36</v>
      </c>
      <c r="F189" t="s">
        <v>558</v>
      </c>
      <c r="G189" t="s">
        <v>32</v>
      </c>
      <c r="H189" t="s">
        <v>33</v>
      </c>
      <c r="I189" s="1" t="s">
        <v>38</v>
      </c>
      <c r="J189"/>
      <c r="K189"/>
      <c r="L189"/>
      <c r="M189"/>
      <c r="N189"/>
    </row>
    <row r="190" spans="1:14" ht="64" hidden="1">
      <c r="A190" t="s">
        <v>13</v>
      </c>
      <c r="B190" t="s">
        <v>559</v>
      </c>
      <c r="C190" t="s">
        <v>28</v>
      </c>
      <c r="D190" t="s">
        <v>29</v>
      </c>
      <c r="E190" t="s">
        <v>36</v>
      </c>
      <c r="F190" t="s">
        <v>560</v>
      </c>
      <c r="G190" t="s">
        <v>32</v>
      </c>
      <c r="H190" t="s">
        <v>33</v>
      </c>
      <c r="I190" s="1" t="s">
        <v>38</v>
      </c>
      <c r="J190"/>
      <c r="K190"/>
      <c r="L190"/>
      <c r="M190"/>
      <c r="N190"/>
    </row>
    <row r="191" spans="1:14" ht="96">
      <c r="A191" t="s">
        <v>13</v>
      </c>
      <c r="B191" t="s">
        <v>35</v>
      </c>
      <c r="C191" t="s">
        <v>28</v>
      </c>
      <c r="D191" t="s">
        <v>29</v>
      </c>
      <c r="E191" t="s">
        <v>36</v>
      </c>
      <c r="F191" t="s">
        <v>561</v>
      </c>
      <c r="G191" t="s">
        <v>32</v>
      </c>
      <c r="H191" s="11" t="s">
        <v>33</v>
      </c>
      <c r="I191" s="2" t="s">
        <v>38</v>
      </c>
      <c r="J191" s="4" t="s">
        <v>39</v>
      </c>
      <c r="K191" s="2" t="s">
        <v>1849</v>
      </c>
      <c r="L191" s="2" t="str">
        <f>VLOOKUP(B191,Sheet2!F:Z,12,0)</f>
        <v>重插MCIO线</v>
      </c>
      <c r="M191" s="2" t="s">
        <v>41</v>
      </c>
      <c r="N191" s="12">
        <v>0</v>
      </c>
    </row>
    <row r="192" spans="1:14" ht="48" hidden="1">
      <c r="A192" t="s">
        <v>13</v>
      </c>
      <c r="B192" t="s">
        <v>562</v>
      </c>
      <c r="C192" t="s">
        <v>28</v>
      </c>
      <c r="D192" t="s">
        <v>29</v>
      </c>
      <c r="E192" t="s">
        <v>60</v>
      </c>
      <c r="F192" t="s">
        <v>563</v>
      </c>
      <c r="G192" t="s">
        <v>19</v>
      </c>
      <c r="H192" t="s">
        <v>137</v>
      </c>
      <c r="I192" s="1" t="s">
        <v>564</v>
      </c>
      <c r="J192"/>
      <c r="K192"/>
      <c r="L192"/>
      <c r="M192"/>
      <c r="N192"/>
    </row>
    <row r="193" spans="1:14" ht="48" hidden="1">
      <c r="A193" t="s">
        <v>13</v>
      </c>
      <c r="B193" t="s">
        <v>565</v>
      </c>
      <c r="C193" t="s">
        <v>43</v>
      </c>
      <c r="E193" t="s">
        <v>30</v>
      </c>
      <c r="F193" t="s">
        <v>566</v>
      </c>
      <c r="G193" t="s">
        <v>62</v>
      </c>
      <c r="H193" t="s">
        <v>90</v>
      </c>
      <c r="I193" s="1" t="s">
        <v>567</v>
      </c>
      <c r="J193"/>
      <c r="K193"/>
      <c r="L193"/>
      <c r="M193"/>
      <c r="N193"/>
    </row>
    <row r="194" spans="1:14" ht="16" hidden="1">
      <c r="A194" t="s">
        <v>13</v>
      </c>
      <c r="B194" t="s">
        <v>568</v>
      </c>
      <c r="C194" t="s">
        <v>15</v>
      </c>
      <c r="D194" t="s">
        <v>16</v>
      </c>
      <c r="E194" t="s">
        <v>17</v>
      </c>
      <c r="F194" t="s">
        <v>569</v>
      </c>
      <c r="G194" t="s">
        <v>19</v>
      </c>
      <c r="H194" t="s">
        <v>509</v>
      </c>
      <c r="I194" s="1" t="s">
        <v>570</v>
      </c>
      <c r="J194"/>
      <c r="K194"/>
      <c r="L194"/>
      <c r="M194"/>
      <c r="N194"/>
    </row>
    <row r="195" spans="1:14" ht="16" hidden="1">
      <c r="A195" t="s">
        <v>13</v>
      </c>
      <c r="B195" t="s">
        <v>568</v>
      </c>
      <c r="C195" t="s">
        <v>15</v>
      </c>
      <c r="D195" t="s">
        <v>16</v>
      </c>
      <c r="E195" t="s">
        <v>17</v>
      </c>
      <c r="F195" t="s">
        <v>571</v>
      </c>
      <c r="G195" t="s">
        <v>19</v>
      </c>
      <c r="H195" t="s">
        <v>509</v>
      </c>
      <c r="I195" s="1" t="s">
        <v>406</v>
      </c>
      <c r="J195"/>
      <c r="K195"/>
      <c r="L195"/>
      <c r="M195"/>
      <c r="N195"/>
    </row>
    <row r="196" spans="1:14" ht="16" hidden="1">
      <c r="A196" t="s">
        <v>13</v>
      </c>
      <c r="B196" t="s">
        <v>572</v>
      </c>
      <c r="C196" t="s">
        <v>15</v>
      </c>
      <c r="D196" t="s">
        <v>16</v>
      </c>
      <c r="E196" t="s">
        <v>23</v>
      </c>
      <c r="F196" t="s">
        <v>573</v>
      </c>
      <c r="G196" t="s">
        <v>19</v>
      </c>
      <c r="H196" t="s">
        <v>509</v>
      </c>
      <c r="I196" s="1" t="s">
        <v>574</v>
      </c>
      <c r="J196"/>
      <c r="K196"/>
      <c r="L196"/>
      <c r="M196"/>
      <c r="N196"/>
    </row>
    <row r="197" spans="1:14" ht="16" hidden="1">
      <c r="A197" t="s">
        <v>13</v>
      </c>
      <c r="B197" t="s">
        <v>575</v>
      </c>
      <c r="C197" t="s">
        <v>43</v>
      </c>
      <c r="E197" t="s">
        <v>77</v>
      </c>
      <c r="F197" t="s">
        <v>380</v>
      </c>
      <c r="G197" t="s">
        <v>62</v>
      </c>
      <c r="H197" t="s">
        <v>90</v>
      </c>
      <c r="I197" s="1" t="s">
        <v>91</v>
      </c>
      <c r="J197"/>
      <c r="K197"/>
      <c r="L197"/>
      <c r="M197"/>
      <c r="N197"/>
    </row>
    <row r="198" spans="1:14" ht="16" hidden="1">
      <c r="A198" t="s">
        <v>13</v>
      </c>
      <c r="B198" t="s">
        <v>308</v>
      </c>
      <c r="C198" t="s">
        <v>43</v>
      </c>
      <c r="E198" t="s">
        <v>30</v>
      </c>
      <c r="F198" t="s">
        <v>576</v>
      </c>
      <c r="G198" t="s">
        <v>62</v>
      </c>
      <c r="H198" t="s">
        <v>90</v>
      </c>
      <c r="I198" s="1" t="s">
        <v>91</v>
      </c>
      <c r="J198"/>
      <c r="K198"/>
      <c r="L198"/>
      <c r="M198"/>
      <c r="N198"/>
    </row>
    <row r="199" spans="1:14" ht="16" hidden="1">
      <c r="A199" t="s">
        <v>13</v>
      </c>
      <c r="B199" t="s">
        <v>543</v>
      </c>
      <c r="C199" t="s">
        <v>43</v>
      </c>
      <c r="E199" t="s">
        <v>77</v>
      </c>
      <c r="F199" t="s">
        <v>577</v>
      </c>
      <c r="G199" t="s">
        <v>62</v>
      </c>
      <c r="H199" t="s">
        <v>90</v>
      </c>
      <c r="I199" s="1" t="s">
        <v>91</v>
      </c>
      <c r="J199"/>
      <c r="K199"/>
      <c r="L199"/>
      <c r="M199"/>
      <c r="N199"/>
    </row>
    <row r="200" spans="1:14" ht="16" hidden="1">
      <c r="A200" t="s">
        <v>13</v>
      </c>
      <c r="B200" t="s">
        <v>362</v>
      </c>
      <c r="C200" t="s">
        <v>43</v>
      </c>
      <c r="E200" t="s">
        <v>30</v>
      </c>
      <c r="F200" t="s">
        <v>578</v>
      </c>
      <c r="G200" t="s">
        <v>62</v>
      </c>
      <c r="H200" t="s">
        <v>90</v>
      </c>
      <c r="I200" s="1" t="s">
        <v>91</v>
      </c>
      <c r="J200"/>
      <c r="K200"/>
      <c r="L200"/>
      <c r="M200"/>
      <c r="N200"/>
    </row>
    <row r="201" spans="1:14" ht="96">
      <c r="A201" t="s">
        <v>13</v>
      </c>
      <c r="B201" t="s">
        <v>579</v>
      </c>
      <c r="C201" t="s">
        <v>148</v>
      </c>
      <c r="D201" t="s">
        <v>149</v>
      </c>
      <c r="E201" t="s">
        <v>195</v>
      </c>
      <c r="F201" t="s">
        <v>580</v>
      </c>
      <c r="G201" t="s">
        <v>32</v>
      </c>
      <c r="H201" s="11" t="s">
        <v>67</v>
      </c>
      <c r="I201" s="2" t="s">
        <v>1850</v>
      </c>
      <c r="J201" s="4" t="s">
        <v>39</v>
      </c>
      <c r="K201" s="2" t="s">
        <v>581</v>
      </c>
      <c r="L201" s="2" t="str">
        <f>VLOOKUP(B201,Sheet2!F:Z,12,0)</f>
        <v>更换硬盘数据线</v>
      </c>
      <c r="M201" s="2" t="s">
        <v>99</v>
      </c>
      <c r="N201" s="12">
        <v>0</v>
      </c>
    </row>
    <row r="202" spans="1:14" ht="16" hidden="1">
      <c r="A202" t="s">
        <v>13</v>
      </c>
      <c r="B202" t="s">
        <v>308</v>
      </c>
      <c r="C202" t="s">
        <v>43</v>
      </c>
      <c r="E202" t="s">
        <v>30</v>
      </c>
      <c r="F202" t="s">
        <v>582</v>
      </c>
      <c r="G202" t="s">
        <v>62</v>
      </c>
      <c r="H202" t="s">
        <v>90</v>
      </c>
      <c r="I202" s="1" t="s">
        <v>91</v>
      </c>
      <c r="J202"/>
      <c r="K202"/>
      <c r="L202"/>
      <c r="M202"/>
      <c r="N202"/>
    </row>
    <row r="203" spans="1:14" ht="32" hidden="1">
      <c r="A203" t="s">
        <v>13</v>
      </c>
      <c r="B203" t="s">
        <v>583</v>
      </c>
      <c r="C203" t="s">
        <v>148</v>
      </c>
      <c r="D203" t="s">
        <v>149</v>
      </c>
      <c r="E203" t="s">
        <v>150</v>
      </c>
      <c r="F203" t="s">
        <v>584</v>
      </c>
      <c r="G203" t="s">
        <v>32</v>
      </c>
      <c r="H203" t="s">
        <v>152</v>
      </c>
      <c r="I203" s="1" t="s">
        <v>153</v>
      </c>
      <c r="J203"/>
      <c r="K203"/>
      <c r="L203"/>
      <c r="M203"/>
      <c r="N203"/>
    </row>
    <row r="204" spans="1:14" ht="32" hidden="1">
      <c r="A204" t="s">
        <v>13</v>
      </c>
      <c r="B204" t="s">
        <v>585</v>
      </c>
      <c r="C204" t="s">
        <v>148</v>
      </c>
      <c r="D204" t="s">
        <v>149</v>
      </c>
      <c r="E204" t="s">
        <v>150</v>
      </c>
      <c r="F204" t="s">
        <v>586</v>
      </c>
      <c r="G204" t="s">
        <v>32</v>
      </c>
      <c r="H204" t="s">
        <v>152</v>
      </c>
      <c r="I204" s="1" t="s">
        <v>153</v>
      </c>
      <c r="J204"/>
      <c r="K204"/>
      <c r="L204"/>
      <c r="M204"/>
      <c r="N204"/>
    </row>
    <row r="205" spans="1:14" ht="16" hidden="1">
      <c r="A205" t="s">
        <v>13</v>
      </c>
      <c r="B205" t="s">
        <v>116</v>
      </c>
      <c r="C205" t="s">
        <v>15</v>
      </c>
      <c r="D205" t="s">
        <v>16</v>
      </c>
      <c r="E205" t="s">
        <v>117</v>
      </c>
      <c r="F205" t="s">
        <v>587</v>
      </c>
      <c r="G205" t="s">
        <v>32</v>
      </c>
      <c r="H205" s="11" t="s">
        <v>232</v>
      </c>
      <c r="I205" s="2" t="s">
        <v>233</v>
      </c>
      <c r="J205" s="4" t="s">
        <v>39</v>
      </c>
      <c r="K205" s="2" t="s">
        <v>341</v>
      </c>
      <c r="L205" s="2" t="str">
        <f>VLOOKUP(B205,Sheet2!F:Z,12,0)</f>
        <v>重插CPU</v>
      </c>
      <c r="M205" s="2" t="s">
        <v>41</v>
      </c>
    </row>
    <row r="206" spans="1:14" ht="64" hidden="1">
      <c r="A206" t="s">
        <v>13</v>
      </c>
      <c r="B206" t="s">
        <v>588</v>
      </c>
      <c r="C206" t="s">
        <v>43</v>
      </c>
      <c r="D206" t="s">
        <v>44</v>
      </c>
      <c r="E206" t="s">
        <v>183</v>
      </c>
      <c r="F206" t="s">
        <v>589</v>
      </c>
      <c r="G206" t="s">
        <v>19</v>
      </c>
      <c r="H206" t="s">
        <v>47</v>
      </c>
      <c r="I206" s="1" t="s">
        <v>590</v>
      </c>
      <c r="J206"/>
      <c r="K206"/>
      <c r="L206"/>
      <c r="M206"/>
      <c r="N206"/>
    </row>
    <row r="207" spans="1:14" ht="48" hidden="1">
      <c r="A207" t="s">
        <v>13</v>
      </c>
      <c r="B207" t="s">
        <v>591</v>
      </c>
      <c r="C207" t="s">
        <v>28</v>
      </c>
      <c r="D207" t="s">
        <v>29</v>
      </c>
      <c r="E207" t="s">
        <v>346</v>
      </c>
      <c r="F207" t="s">
        <v>592</v>
      </c>
      <c r="G207" t="s">
        <v>32</v>
      </c>
      <c r="H207" t="s">
        <v>33</v>
      </c>
      <c r="I207" s="1" t="s">
        <v>593</v>
      </c>
      <c r="J207"/>
      <c r="K207"/>
      <c r="L207"/>
      <c r="M207"/>
      <c r="N207"/>
    </row>
    <row r="208" spans="1:14" ht="16" hidden="1">
      <c r="A208" t="s">
        <v>13</v>
      </c>
      <c r="B208" t="s">
        <v>594</v>
      </c>
      <c r="C208" t="s">
        <v>148</v>
      </c>
      <c r="D208" t="s">
        <v>595</v>
      </c>
      <c r="E208" t="s">
        <v>596</v>
      </c>
      <c r="F208" t="s">
        <v>597</v>
      </c>
      <c r="G208" t="s">
        <v>19</v>
      </c>
      <c r="H208" t="s">
        <v>290</v>
      </c>
      <c r="I208" s="1" t="s">
        <v>198</v>
      </c>
      <c r="J208"/>
      <c r="K208"/>
      <c r="L208"/>
      <c r="M208"/>
      <c r="N208"/>
    </row>
    <row r="209" spans="1:14" ht="96">
      <c r="A209" t="s">
        <v>13</v>
      </c>
      <c r="B209" t="s">
        <v>598</v>
      </c>
      <c r="C209" t="s">
        <v>43</v>
      </c>
      <c r="D209" t="s">
        <v>44</v>
      </c>
      <c r="E209" t="s">
        <v>45</v>
      </c>
      <c r="F209" t="s">
        <v>599</v>
      </c>
      <c r="G209" t="s">
        <v>32</v>
      </c>
      <c r="H209" s="11" t="s">
        <v>152</v>
      </c>
      <c r="I209" s="2" t="s">
        <v>600</v>
      </c>
      <c r="J209" s="4" t="s">
        <v>39</v>
      </c>
      <c r="K209" s="2" t="s">
        <v>601</v>
      </c>
      <c r="L209" s="2" t="str">
        <f>VLOOKUP(B209,Sheet2!F:Z,12,0)</f>
        <v>更换内存</v>
      </c>
      <c r="M209" s="2" t="s">
        <v>99</v>
      </c>
      <c r="N209" s="12">
        <v>0</v>
      </c>
    </row>
    <row r="210" spans="1:14" ht="16" hidden="1">
      <c r="A210" t="s">
        <v>13</v>
      </c>
      <c r="B210" t="s">
        <v>602</v>
      </c>
      <c r="C210" t="s">
        <v>15</v>
      </c>
      <c r="D210" t="s">
        <v>16</v>
      </c>
      <c r="E210" t="s">
        <v>17</v>
      </c>
      <c r="F210" t="s">
        <v>603</v>
      </c>
      <c r="G210" t="s">
        <v>19</v>
      </c>
      <c r="H210" t="s">
        <v>20</v>
      </c>
      <c r="I210" s="1" t="s">
        <v>21</v>
      </c>
      <c r="J210"/>
      <c r="K210"/>
      <c r="L210"/>
      <c r="M210"/>
      <c r="N210"/>
    </row>
    <row r="211" spans="1:14" ht="96">
      <c r="A211" t="s">
        <v>13</v>
      </c>
      <c r="B211" t="s">
        <v>35</v>
      </c>
      <c r="C211" t="s">
        <v>28</v>
      </c>
      <c r="D211" t="s">
        <v>29</v>
      </c>
      <c r="E211" t="s">
        <v>36</v>
      </c>
      <c r="F211" t="s">
        <v>604</v>
      </c>
      <c r="G211" t="s">
        <v>32</v>
      </c>
      <c r="H211" s="11" t="s">
        <v>33</v>
      </c>
      <c r="I211" s="2" t="s">
        <v>38</v>
      </c>
      <c r="J211" s="4" t="s">
        <v>39</v>
      </c>
      <c r="K211" s="2" t="s">
        <v>40</v>
      </c>
      <c r="L211" s="2" t="str">
        <f>VLOOKUP(B211,Sheet2!F:Z,12,0)</f>
        <v>重插MCIO线</v>
      </c>
      <c r="M211" s="2" t="s">
        <v>41</v>
      </c>
      <c r="N211" s="12">
        <v>0</v>
      </c>
    </row>
    <row r="212" spans="1:14" ht="32" hidden="1">
      <c r="A212" t="s">
        <v>13</v>
      </c>
      <c r="B212" t="s">
        <v>605</v>
      </c>
      <c r="C212" t="s">
        <v>148</v>
      </c>
      <c r="D212" t="s">
        <v>149</v>
      </c>
      <c r="E212" t="s">
        <v>150</v>
      </c>
      <c r="F212" t="s">
        <v>606</v>
      </c>
      <c r="G212" t="s">
        <v>32</v>
      </c>
      <c r="H212" t="s">
        <v>152</v>
      </c>
      <c r="I212" s="1" t="s">
        <v>153</v>
      </c>
      <c r="J212"/>
      <c r="K212"/>
      <c r="L212"/>
      <c r="M212"/>
      <c r="N212"/>
    </row>
    <row r="213" spans="1:14" ht="32" hidden="1">
      <c r="A213" t="s">
        <v>13</v>
      </c>
      <c r="B213" t="s">
        <v>607</v>
      </c>
      <c r="C213" t="s">
        <v>148</v>
      </c>
      <c r="D213" t="s">
        <v>149</v>
      </c>
      <c r="E213" t="s">
        <v>150</v>
      </c>
      <c r="F213" t="s">
        <v>608</v>
      </c>
      <c r="G213" t="s">
        <v>32</v>
      </c>
      <c r="H213" t="s">
        <v>152</v>
      </c>
      <c r="I213" s="1" t="s">
        <v>153</v>
      </c>
      <c r="J213"/>
      <c r="K213"/>
      <c r="L213"/>
      <c r="M213"/>
      <c r="N213"/>
    </row>
    <row r="214" spans="1:14" ht="96">
      <c r="A214" t="s">
        <v>13</v>
      </c>
      <c r="B214" t="s">
        <v>182</v>
      </c>
      <c r="C214" t="s">
        <v>43</v>
      </c>
      <c r="D214" t="s">
        <v>44</v>
      </c>
      <c r="E214" t="s">
        <v>183</v>
      </c>
      <c r="F214" t="s">
        <v>609</v>
      </c>
      <c r="G214" t="s">
        <v>32</v>
      </c>
      <c r="H214" s="11" t="s">
        <v>152</v>
      </c>
      <c r="I214" s="2" t="s">
        <v>610</v>
      </c>
      <c r="J214" s="4" t="s">
        <v>39</v>
      </c>
      <c r="K214" s="2" t="s">
        <v>611</v>
      </c>
      <c r="L214" s="2" t="str">
        <f>VLOOKUP(B214,Sheet2!F:Z,12,0)</f>
        <v>更换系统风扇</v>
      </c>
      <c r="M214" s="2" t="s">
        <v>99</v>
      </c>
      <c r="N214" s="12">
        <v>0</v>
      </c>
    </row>
    <row r="215" spans="1:14" ht="16" hidden="1">
      <c r="A215" t="s">
        <v>13</v>
      </c>
      <c r="B215" t="s">
        <v>612</v>
      </c>
      <c r="C215" t="s">
        <v>15</v>
      </c>
      <c r="D215" t="s">
        <v>16</v>
      </c>
      <c r="E215" t="s">
        <v>94</v>
      </c>
      <c r="F215" t="s">
        <v>613</v>
      </c>
      <c r="G215" t="s">
        <v>19</v>
      </c>
      <c r="H215" t="s">
        <v>614</v>
      </c>
      <c r="I215" s="1" t="s">
        <v>21</v>
      </c>
      <c r="J215"/>
      <c r="K215"/>
      <c r="L215"/>
      <c r="M215"/>
      <c r="N215"/>
    </row>
    <row r="216" spans="1:14" ht="16" hidden="1">
      <c r="A216" t="s">
        <v>13</v>
      </c>
      <c r="B216" t="s">
        <v>359</v>
      </c>
      <c r="C216" t="s">
        <v>15</v>
      </c>
      <c r="D216" t="s">
        <v>16</v>
      </c>
      <c r="E216" t="s">
        <v>117</v>
      </c>
      <c r="F216" t="s">
        <v>615</v>
      </c>
      <c r="G216" t="s">
        <v>19</v>
      </c>
      <c r="H216" t="s">
        <v>358</v>
      </c>
      <c r="I216" s="1" t="s">
        <v>21</v>
      </c>
      <c r="J216"/>
      <c r="K216"/>
      <c r="L216"/>
      <c r="M216"/>
      <c r="N216"/>
    </row>
    <row r="217" spans="1:14" ht="16" hidden="1">
      <c r="A217" t="s">
        <v>13</v>
      </c>
      <c r="B217" t="s">
        <v>616</v>
      </c>
      <c r="C217" t="s">
        <v>43</v>
      </c>
      <c r="D217" t="s">
        <v>44</v>
      </c>
      <c r="E217" t="s">
        <v>45</v>
      </c>
      <c r="F217" t="s">
        <v>617</v>
      </c>
      <c r="G217" t="s">
        <v>19</v>
      </c>
      <c r="H217" t="s">
        <v>51</v>
      </c>
      <c r="I217" s="1" t="s">
        <v>103</v>
      </c>
      <c r="J217"/>
      <c r="K217"/>
      <c r="L217"/>
      <c r="M217"/>
      <c r="N217"/>
    </row>
    <row r="218" spans="1:14" ht="96">
      <c r="A218" t="s">
        <v>13</v>
      </c>
      <c r="B218" t="s">
        <v>618</v>
      </c>
      <c r="C218" t="s">
        <v>28</v>
      </c>
      <c r="D218" t="s">
        <v>29</v>
      </c>
      <c r="E218" t="s">
        <v>36</v>
      </c>
      <c r="F218" t="s">
        <v>619</v>
      </c>
      <c r="G218" t="s">
        <v>32</v>
      </c>
      <c r="H218" s="11" t="s">
        <v>33</v>
      </c>
      <c r="I218" s="2" t="s">
        <v>1851</v>
      </c>
      <c r="J218" s="4" t="s">
        <v>39</v>
      </c>
      <c r="K218" s="2" t="s">
        <v>621</v>
      </c>
      <c r="L218" s="2" t="str">
        <f>VLOOKUP(B218,Sheet2!F:Z,12,0)</f>
        <v>更换内存</v>
      </c>
      <c r="M218" s="2" t="s">
        <v>99</v>
      </c>
      <c r="N218" s="12">
        <v>0</v>
      </c>
    </row>
    <row r="219" spans="1:14" ht="48" hidden="1">
      <c r="A219" t="s">
        <v>13</v>
      </c>
      <c r="B219" t="s">
        <v>550</v>
      </c>
      <c r="C219" t="s">
        <v>28</v>
      </c>
      <c r="D219" t="s">
        <v>29</v>
      </c>
      <c r="E219" t="s">
        <v>36</v>
      </c>
      <c r="F219" t="s">
        <v>622</v>
      </c>
      <c r="G219" t="s">
        <v>32</v>
      </c>
      <c r="H219" t="s">
        <v>33</v>
      </c>
      <c r="I219" s="1" t="s">
        <v>623</v>
      </c>
      <c r="J219"/>
      <c r="K219"/>
      <c r="L219"/>
      <c r="M219"/>
      <c r="N219"/>
    </row>
    <row r="220" spans="1:14" ht="64" hidden="1">
      <c r="A220" t="s">
        <v>13</v>
      </c>
      <c r="B220" t="s">
        <v>392</v>
      </c>
      <c r="C220" t="s">
        <v>28</v>
      </c>
      <c r="D220" t="s">
        <v>29</v>
      </c>
      <c r="E220" t="s">
        <v>77</v>
      </c>
      <c r="F220" t="s">
        <v>624</v>
      </c>
      <c r="G220" t="s">
        <v>32</v>
      </c>
      <c r="H220" t="s">
        <v>33</v>
      </c>
      <c r="I220" s="1" t="s">
        <v>38</v>
      </c>
      <c r="J220"/>
      <c r="K220"/>
      <c r="L220"/>
      <c r="M220"/>
      <c r="N220"/>
    </row>
    <row r="221" spans="1:14" ht="16" hidden="1">
      <c r="A221" t="s">
        <v>13</v>
      </c>
      <c r="B221" t="s">
        <v>625</v>
      </c>
      <c r="C221" t="s">
        <v>43</v>
      </c>
      <c r="D221" t="s">
        <v>44</v>
      </c>
      <c r="E221" t="s">
        <v>45</v>
      </c>
      <c r="F221" t="s">
        <v>626</v>
      </c>
      <c r="G221" t="s">
        <v>19</v>
      </c>
      <c r="H221" t="s">
        <v>102</v>
      </c>
      <c r="I221" s="1" t="s">
        <v>103</v>
      </c>
      <c r="J221"/>
      <c r="K221"/>
      <c r="L221"/>
      <c r="M221"/>
      <c r="N221"/>
    </row>
    <row r="222" spans="1:14" ht="64" hidden="1">
      <c r="A222" t="s">
        <v>13</v>
      </c>
      <c r="B222" t="s">
        <v>386</v>
      </c>
      <c r="C222" t="s">
        <v>28</v>
      </c>
      <c r="D222" t="s">
        <v>29</v>
      </c>
      <c r="E222" t="s">
        <v>36</v>
      </c>
      <c r="F222" t="s">
        <v>627</v>
      </c>
      <c r="G222" t="s">
        <v>19</v>
      </c>
      <c r="H222" t="s">
        <v>628</v>
      </c>
      <c r="I222" s="1" t="s">
        <v>629</v>
      </c>
      <c r="J222"/>
      <c r="K222"/>
      <c r="L222"/>
      <c r="M222"/>
      <c r="N222"/>
    </row>
    <row r="223" spans="1:14" ht="16" hidden="1">
      <c r="A223" t="s">
        <v>13</v>
      </c>
      <c r="B223" t="s">
        <v>135</v>
      </c>
      <c r="C223" t="s">
        <v>43</v>
      </c>
      <c r="E223" t="s">
        <v>132</v>
      </c>
      <c r="F223" t="s">
        <v>630</v>
      </c>
      <c r="G223" t="s">
        <v>62</v>
      </c>
      <c r="H223" s="11" t="s">
        <v>90</v>
      </c>
      <c r="I223" s="2" t="s">
        <v>91</v>
      </c>
      <c r="J223" s="4" t="s">
        <v>39</v>
      </c>
      <c r="K223" s="2" t="s">
        <v>631</v>
      </c>
      <c r="L223" s="2" t="str">
        <f>VLOOKUP(B223,Sheet2!F:Z,12,0)</f>
        <v>重插智能网卡</v>
      </c>
      <c r="M223" s="2" t="s">
        <v>41</v>
      </c>
    </row>
    <row r="224" spans="1:14" ht="32" hidden="1">
      <c r="A224" t="s">
        <v>13</v>
      </c>
      <c r="B224" t="s">
        <v>632</v>
      </c>
      <c r="C224" t="s">
        <v>43</v>
      </c>
      <c r="D224" t="s">
        <v>44</v>
      </c>
      <c r="E224" t="s">
        <v>365</v>
      </c>
      <c r="F224" t="s">
        <v>633</v>
      </c>
      <c r="G224" t="s">
        <v>32</v>
      </c>
      <c r="H224" t="s">
        <v>152</v>
      </c>
      <c r="I224" s="1" t="s">
        <v>634</v>
      </c>
      <c r="J224"/>
      <c r="K224"/>
      <c r="L224"/>
      <c r="M224"/>
      <c r="N224"/>
    </row>
    <row r="225" spans="1:14" ht="96" hidden="1">
      <c r="A225" t="s">
        <v>13</v>
      </c>
      <c r="B225" t="s">
        <v>82</v>
      </c>
      <c r="C225" t="s">
        <v>28</v>
      </c>
      <c r="D225" t="s">
        <v>29</v>
      </c>
      <c r="E225" t="s">
        <v>83</v>
      </c>
      <c r="F225" t="s">
        <v>635</v>
      </c>
      <c r="G225" t="s">
        <v>32</v>
      </c>
      <c r="H225" s="11" t="s">
        <v>85</v>
      </c>
      <c r="I225" s="2" t="s">
        <v>1852</v>
      </c>
      <c r="J225" s="4" t="s">
        <v>39</v>
      </c>
      <c r="K225" s="2" t="s">
        <v>390</v>
      </c>
      <c r="L225" s="2" t="str">
        <f>VLOOKUP(B225,Sheet2!F:Z,12,0)</f>
        <v>重插数据线</v>
      </c>
      <c r="M225" s="2" t="s">
        <v>99</v>
      </c>
    </row>
    <row r="226" spans="1:14" ht="64" hidden="1">
      <c r="A226" t="s">
        <v>13</v>
      </c>
      <c r="B226" t="s">
        <v>636</v>
      </c>
      <c r="C226" t="s">
        <v>28</v>
      </c>
      <c r="D226" t="s">
        <v>29</v>
      </c>
      <c r="E226" t="s">
        <v>77</v>
      </c>
      <c r="F226" t="s">
        <v>637</v>
      </c>
      <c r="G226" t="s">
        <v>19</v>
      </c>
      <c r="H226" t="s">
        <v>145</v>
      </c>
      <c r="I226" s="1" t="s">
        <v>638</v>
      </c>
      <c r="J226"/>
      <c r="K226"/>
      <c r="L226"/>
      <c r="M226"/>
      <c r="N226"/>
    </row>
    <row r="227" spans="1:14" ht="16" hidden="1">
      <c r="A227" t="s">
        <v>13</v>
      </c>
      <c r="B227" t="s">
        <v>639</v>
      </c>
      <c r="C227" t="s">
        <v>43</v>
      </c>
      <c r="D227" t="s">
        <v>44</v>
      </c>
      <c r="E227" t="s">
        <v>365</v>
      </c>
      <c r="F227" t="s">
        <v>640</v>
      </c>
      <c r="G227" t="s">
        <v>19</v>
      </c>
      <c r="H227" t="s">
        <v>417</v>
      </c>
      <c r="I227" s="1" t="s">
        <v>641</v>
      </c>
      <c r="J227"/>
      <c r="K227"/>
      <c r="L227"/>
      <c r="M227"/>
      <c r="N227"/>
    </row>
    <row r="228" spans="1:14" ht="16" hidden="1">
      <c r="A228" t="s">
        <v>13</v>
      </c>
      <c r="B228" t="s">
        <v>248</v>
      </c>
      <c r="C228" t="s">
        <v>15</v>
      </c>
      <c r="D228" t="s">
        <v>16</v>
      </c>
      <c r="E228" t="s">
        <v>23</v>
      </c>
      <c r="F228" t="s">
        <v>642</v>
      </c>
      <c r="G228" t="s">
        <v>19</v>
      </c>
      <c r="H228" t="s">
        <v>643</v>
      </c>
      <c r="I228" s="1" t="s">
        <v>21</v>
      </c>
      <c r="J228"/>
      <c r="K228"/>
      <c r="L228"/>
      <c r="M228"/>
      <c r="N228"/>
    </row>
    <row r="229" spans="1:14" ht="64">
      <c r="A229" t="s">
        <v>13</v>
      </c>
      <c r="B229" t="s">
        <v>546</v>
      </c>
      <c r="C229" t="s">
        <v>148</v>
      </c>
      <c r="D229" t="s">
        <v>149</v>
      </c>
      <c r="E229" t="s">
        <v>195</v>
      </c>
      <c r="F229" t="s">
        <v>644</v>
      </c>
      <c r="G229" t="s">
        <v>32</v>
      </c>
      <c r="H229" s="11" t="s">
        <v>67</v>
      </c>
      <c r="I229" s="2" t="s">
        <v>1853</v>
      </c>
      <c r="J229" s="4" t="s">
        <v>39</v>
      </c>
      <c r="K229" s="2" t="s">
        <v>645</v>
      </c>
      <c r="L229" s="2" t="str">
        <f>VLOOKUP(B229,Sheet2!F:Z,12,0)</f>
        <v>更换硬盘</v>
      </c>
      <c r="M229" s="2" t="s">
        <v>99</v>
      </c>
      <c r="N229" s="12">
        <v>0</v>
      </c>
    </row>
    <row r="230" spans="1:14" ht="32" hidden="1">
      <c r="A230" t="s">
        <v>13</v>
      </c>
      <c r="B230" t="s">
        <v>588</v>
      </c>
      <c r="C230" t="s">
        <v>43</v>
      </c>
      <c r="D230" t="s">
        <v>44</v>
      </c>
      <c r="E230" t="s">
        <v>183</v>
      </c>
      <c r="F230" t="s">
        <v>646</v>
      </c>
      <c r="G230" t="s">
        <v>19</v>
      </c>
      <c r="H230" t="s">
        <v>417</v>
      </c>
      <c r="I230" s="1" t="s">
        <v>647</v>
      </c>
      <c r="J230"/>
      <c r="K230"/>
      <c r="L230"/>
      <c r="M230"/>
      <c r="N230"/>
    </row>
    <row r="231" spans="1:14" ht="32" hidden="1">
      <c r="A231" t="s">
        <v>13</v>
      </c>
      <c r="B231" t="s">
        <v>648</v>
      </c>
      <c r="C231" t="s">
        <v>148</v>
      </c>
      <c r="D231" t="s">
        <v>149</v>
      </c>
      <c r="E231" t="s">
        <v>150</v>
      </c>
      <c r="F231" t="s">
        <v>155</v>
      </c>
      <c r="G231" t="s">
        <v>32</v>
      </c>
      <c r="H231" t="s">
        <v>152</v>
      </c>
      <c r="I231" s="1" t="s">
        <v>153</v>
      </c>
      <c r="J231"/>
      <c r="K231"/>
      <c r="L231"/>
      <c r="M231"/>
      <c r="N231"/>
    </row>
    <row r="232" spans="1:14" ht="32" hidden="1">
      <c r="A232" t="s">
        <v>13</v>
      </c>
      <c r="B232" t="s">
        <v>649</v>
      </c>
      <c r="C232" t="s">
        <v>148</v>
      </c>
      <c r="D232" t="s">
        <v>149</v>
      </c>
      <c r="E232" t="s">
        <v>150</v>
      </c>
      <c r="F232" t="s">
        <v>177</v>
      </c>
      <c r="G232" t="s">
        <v>32</v>
      </c>
      <c r="H232" t="s">
        <v>152</v>
      </c>
      <c r="I232" s="1" t="s">
        <v>153</v>
      </c>
      <c r="J232"/>
      <c r="K232"/>
      <c r="L232"/>
      <c r="M232"/>
      <c r="N232"/>
    </row>
    <row r="233" spans="1:14" ht="48" hidden="1">
      <c r="A233" t="s">
        <v>13</v>
      </c>
      <c r="B233" t="s">
        <v>650</v>
      </c>
      <c r="C233" t="s">
        <v>148</v>
      </c>
      <c r="D233" t="s">
        <v>149</v>
      </c>
      <c r="E233" t="s">
        <v>195</v>
      </c>
      <c r="F233" t="s">
        <v>651</v>
      </c>
      <c r="G233" t="s">
        <v>32</v>
      </c>
      <c r="H233" t="s">
        <v>152</v>
      </c>
      <c r="I233" s="1" t="s">
        <v>652</v>
      </c>
      <c r="J233"/>
      <c r="K233"/>
      <c r="L233"/>
      <c r="M233"/>
      <c r="N233"/>
    </row>
    <row r="234" spans="1:14" ht="16" hidden="1">
      <c r="A234" t="s">
        <v>13</v>
      </c>
      <c r="B234" t="s">
        <v>201</v>
      </c>
      <c r="C234" t="s">
        <v>15</v>
      </c>
      <c r="D234" t="s">
        <v>16</v>
      </c>
      <c r="E234" t="s">
        <v>23</v>
      </c>
      <c r="F234" t="s">
        <v>653</v>
      </c>
      <c r="G234" t="s">
        <v>32</v>
      </c>
      <c r="H234" t="s">
        <v>355</v>
      </c>
      <c r="I234" s="1" t="s">
        <v>21</v>
      </c>
      <c r="J234"/>
      <c r="K234"/>
      <c r="L234"/>
      <c r="M234"/>
      <c r="N234"/>
    </row>
    <row r="235" spans="1:14" ht="16" hidden="1">
      <c r="A235" t="s">
        <v>13</v>
      </c>
      <c r="B235" t="s">
        <v>654</v>
      </c>
      <c r="C235" t="s">
        <v>43</v>
      </c>
      <c r="D235" t="s">
        <v>44</v>
      </c>
      <c r="E235" t="s">
        <v>45</v>
      </c>
      <c r="F235" t="s">
        <v>655</v>
      </c>
      <c r="G235" t="s">
        <v>113</v>
      </c>
      <c r="H235" t="s">
        <v>555</v>
      </c>
      <c r="I235" s="1" t="s">
        <v>556</v>
      </c>
      <c r="J235"/>
      <c r="K235"/>
      <c r="L235"/>
      <c r="M235"/>
      <c r="N235"/>
    </row>
    <row r="236" spans="1:14" ht="32" hidden="1">
      <c r="A236" t="s">
        <v>13</v>
      </c>
      <c r="B236" t="s">
        <v>156</v>
      </c>
      <c r="C236" t="s">
        <v>148</v>
      </c>
      <c r="D236" t="s">
        <v>149</v>
      </c>
      <c r="E236" t="s">
        <v>150</v>
      </c>
      <c r="F236" t="s">
        <v>656</v>
      </c>
      <c r="G236" t="s">
        <v>32</v>
      </c>
      <c r="H236" t="s">
        <v>152</v>
      </c>
      <c r="I236" s="1" t="s">
        <v>153</v>
      </c>
      <c r="J236"/>
      <c r="K236"/>
      <c r="L236"/>
      <c r="M236"/>
      <c r="N236"/>
    </row>
    <row r="237" spans="1:14" ht="32" hidden="1">
      <c r="A237" t="s">
        <v>13</v>
      </c>
      <c r="B237" t="s">
        <v>657</v>
      </c>
      <c r="C237" t="s">
        <v>148</v>
      </c>
      <c r="D237" t="s">
        <v>149</v>
      </c>
      <c r="E237" t="s">
        <v>150</v>
      </c>
      <c r="F237" t="s">
        <v>658</v>
      </c>
      <c r="G237" t="s">
        <v>32</v>
      </c>
      <c r="H237" t="s">
        <v>152</v>
      </c>
      <c r="I237" s="1" t="s">
        <v>153</v>
      </c>
      <c r="J237"/>
      <c r="K237"/>
      <c r="L237"/>
      <c r="M237"/>
      <c r="N237"/>
    </row>
    <row r="238" spans="1:14" ht="32" hidden="1">
      <c r="A238" t="s">
        <v>13</v>
      </c>
      <c r="B238" t="s">
        <v>659</v>
      </c>
      <c r="C238" t="s">
        <v>148</v>
      </c>
      <c r="D238" t="s">
        <v>149</v>
      </c>
      <c r="E238" t="s">
        <v>150</v>
      </c>
      <c r="F238" t="s">
        <v>660</v>
      </c>
      <c r="G238" t="s">
        <v>32</v>
      </c>
      <c r="H238" t="s">
        <v>152</v>
      </c>
      <c r="I238" s="1" t="s">
        <v>153</v>
      </c>
      <c r="J238"/>
      <c r="K238"/>
      <c r="L238"/>
      <c r="M238"/>
      <c r="N238"/>
    </row>
    <row r="239" spans="1:14" ht="32" hidden="1">
      <c r="A239" t="s">
        <v>13</v>
      </c>
      <c r="B239" t="s">
        <v>174</v>
      </c>
      <c r="C239" t="s">
        <v>148</v>
      </c>
      <c r="D239" t="s">
        <v>149</v>
      </c>
      <c r="E239" t="s">
        <v>150</v>
      </c>
      <c r="F239" t="s">
        <v>661</v>
      </c>
      <c r="G239" t="s">
        <v>32</v>
      </c>
      <c r="H239" t="s">
        <v>152</v>
      </c>
      <c r="I239" s="1" t="s">
        <v>153</v>
      </c>
      <c r="J239"/>
      <c r="K239"/>
      <c r="L239"/>
      <c r="M239"/>
      <c r="N239"/>
    </row>
    <row r="240" spans="1:14" ht="32" hidden="1">
      <c r="A240" t="s">
        <v>13</v>
      </c>
      <c r="B240" t="s">
        <v>662</v>
      </c>
      <c r="C240" t="s">
        <v>148</v>
      </c>
      <c r="D240" t="s">
        <v>149</v>
      </c>
      <c r="E240" t="s">
        <v>150</v>
      </c>
      <c r="F240" t="s">
        <v>663</v>
      </c>
      <c r="G240" t="s">
        <v>32</v>
      </c>
      <c r="H240" t="s">
        <v>152</v>
      </c>
      <c r="I240" s="1" t="s">
        <v>153</v>
      </c>
      <c r="J240"/>
      <c r="K240"/>
      <c r="L240"/>
      <c r="M240"/>
      <c r="N240"/>
    </row>
    <row r="241" spans="1:14" ht="32" hidden="1">
      <c r="A241" t="s">
        <v>13</v>
      </c>
      <c r="B241" t="s">
        <v>664</v>
      </c>
      <c r="C241" t="s">
        <v>148</v>
      </c>
      <c r="D241" t="s">
        <v>149</v>
      </c>
      <c r="E241" t="s">
        <v>150</v>
      </c>
      <c r="F241" t="s">
        <v>608</v>
      </c>
      <c r="G241" t="s">
        <v>32</v>
      </c>
      <c r="H241" t="s">
        <v>152</v>
      </c>
      <c r="I241" s="1" t="s">
        <v>153</v>
      </c>
      <c r="J241"/>
      <c r="K241"/>
      <c r="L241"/>
      <c r="M241"/>
      <c r="N241"/>
    </row>
    <row r="242" spans="1:14" ht="32" hidden="1">
      <c r="A242" t="s">
        <v>13</v>
      </c>
      <c r="B242" t="s">
        <v>665</v>
      </c>
      <c r="C242" t="s">
        <v>148</v>
      </c>
      <c r="D242" t="s">
        <v>149</v>
      </c>
      <c r="E242" t="s">
        <v>150</v>
      </c>
      <c r="F242" t="s">
        <v>666</v>
      </c>
      <c r="G242" t="s">
        <v>32</v>
      </c>
      <c r="H242" t="s">
        <v>152</v>
      </c>
      <c r="I242" s="1" t="s">
        <v>153</v>
      </c>
      <c r="J242"/>
      <c r="K242"/>
      <c r="L242"/>
      <c r="M242"/>
      <c r="N242"/>
    </row>
    <row r="243" spans="1:14" ht="16" hidden="1">
      <c r="A243" t="s">
        <v>13</v>
      </c>
      <c r="B243" t="s">
        <v>667</v>
      </c>
      <c r="C243" t="s">
        <v>15</v>
      </c>
      <c r="D243" t="s">
        <v>16</v>
      </c>
      <c r="E243" t="s">
        <v>17</v>
      </c>
      <c r="F243" t="s">
        <v>668</v>
      </c>
      <c r="G243" t="s">
        <v>32</v>
      </c>
      <c r="H243" t="s">
        <v>192</v>
      </c>
      <c r="I243" s="1" t="s">
        <v>193</v>
      </c>
      <c r="J243"/>
      <c r="K243"/>
      <c r="L243"/>
      <c r="M243"/>
      <c r="N243"/>
    </row>
    <row r="244" spans="1:14" ht="96">
      <c r="A244" t="s">
        <v>13</v>
      </c>
      <c r="B244" t="s">
        <v>207</v>
      </c>
      <c r="C244" t="s">
        <v>148</v>
      </c>
      <c r="D244" t="s">
        <v>149</v>
      </c>
      <c r="E244" t="s">
        <v>208</v>
      </c>
      <c r="F244" t="s">
        <v>669</v>
      </c>
      <c r="G244" t="s">
        <v>19</v>
      </c>
      <c r="H244" s="11" t="s">
        <v>197</v>
      </c>
      <c r="I244" s="2" t="s">
        <v>1854</v>
      </c>
      <c r="J244" s="4" t="s">
        <v>39</v>
      </c>
      <c r="K244" s="2" t="s">
        <v>671</v>
      </c>
      <c r="L244" s="2" t="str">
        <f>VLOOKUP(B244,Sheet2!F:Z,12,0)</f>
        <v>更换内存</v>
      </c>
      <c r="M244" s="2" t="s">
        <v>99</v>
      </c>
      <c r="N244" s="12">
        <v>0</v>
      </c>
    </row>
    <row r="245" spans="1:14" ht="16" hidden="1">
      <c r="A245" t="s">
        <v>13</v>
      </c>
      <c r="B245" t="s">
        <v>199</v>
      </c>
      <c r="C245" t="s">
        <v>148</v>
      </c>
      <c r="D245" t="s">
        <v>149</v>
      </c>
      <c r="E245" t="s">
        <v>150</v>
      </c>
      <c r="F245" t="s">
        <v>672</v>
      </c>
      <c r="G245" t="s">
        <v>19</v>
      </c>
      <c r="H245" t="s">
        <v>197</v>
      </c>
      <c r="I245" s="1" t="s">
        <v>673</v>
      </c>
      <c r="J245"/>
      <c r="K245"/>
      <c r="L245"/>
      <c r="M245"/>
      <c r="N245"/>
    </row>
    <row r="246" spans="1:14" ht="64" hidden="1">
      <c r="A246" t="s">
        <v>13</v>
      </c>
      <c r="B246" t="s">
        <v>674</v>
      </c>
      <c r="C246" t="s">
        <v>28</v>
      </c>
      <c r="D246" t="s">
        <v>29</v>
      </c>
      <c r="E246" t="s">
        <v>60</v>
      </c>
      <c r="F246" t="s">
        <v>675</v>
      </c>
      <c r="G246" t="s">
        <v>19</v>
      </c>
      <c r="H246" t="s">
        <v>137</v>
      </c>
      <c r="I246" s="1" t="s">
        <v>676</v>
      </c>
      <c r="J246"/>
      <c r="K246"/>
      <c r="L246"/>
      <c r="M246"/>
      <c r="N246"/>
    </row>
    <row r="247" spans="1:14" ht="16" hidden="1">
      <c r="A247" t="s">
        <v>13</v>
      </c>
      <c r="B247" t="s">
        <v>190</v>
      </c>
      <c r="C247" t="s">
        <v>15</v>
      </c>
      <c r="D247" t="s">
        <v>16</v>
      </c>
      <c r="E247" t="s">
        <v>17</v>
      </c>
      <c r="F247" t="s">
        <v>677</v>
      </c>
      <c r="G247" t="s">
        <v>32</v>
      </c>
      <c r="H247" t="s">
        <v>192</v>
      </c>
      <c r="I247" s="1" t="s">
        <v>193</v>
      </c>
      <c r="J247"/>
      <c r="K247"/>
      <c r="L247"/>
      <c r="M247"/>
      <c r="N247"/>
    </row>
    <row r="248" spans="1:14" ht="16" hidden="1">
      <c r="A248" t="s">
        <v>13</v>
      </c>
      <c r="B248" t="s">
        <v>201</v>
      </c>
      <c r="C248" t="s">
        <v>15</v>
      </c>
      <c r="D248" t="s">
        <v>16</v>
      </c>
      <c r="E248" t="s">
        <v>23</v>
      </c>
      <c r="F248" t="s">
        <v>678</v>
      </c>
      <c r="G248" t="s">
        <v>19</v>
      </c>
      <c r="H248" t="s">
        <v>614</v>
      </c>
      <c r="I248" s="1" t="s">
        <v>21</v>
      </c>
      <c r="J248"/>
      <c r="K248"/>
      <c r="L248"/>
      <c r="M248"/>
      <c r="N248"/>
    </row>
    <row r="249" spans="1:14" ht="32" hidden="1">
      <c r="A249" t="s">
        <v>13</v>
      </c>
      <c r="B249" t="s">
        <v>93</v>
      </c>
      <c r="C249" t="s">
        <v>15</v>
      </c>
      <c r="D249" t="s">
        <v>16</v>
      </c>
      <c r="E249" t="s">
        <v>94</v>
      </c>
      <c r="F249" t="s">
        <v>679</v>
      </c>
      <c r="G249" t="s">
        <v>19</v>
      </c>
      <c r="H249" s="11" t="s">
        <v>305</v>
      </c>
      <c r="I249" s="2" t="s">
        <v>21</v>
      </c>
      <c r="J249" s="4" t="s">
        <v>39</v>
      </c>
      <c r="K249" s="2" t="s">
        <v>98</v>
      </c>
      <c r="L249" s="2" t="str">
        <f>VLOOKUP(B249,Sheet2!F:Z,12,0)</f>
        <v>更换内存</v>
      </c>
      <c r="M249" s="2" t="s">
        <v>99</v>
      </c>
    </row>
    <row r="250" spans="1:14" ht="64" hidden="1">
      <c r="A250" t="s">
        <v>13</v>
      </c>
      <c r="B250" t="s">
        <v>559</v>
      </c>
      <c r="C250" t="s">
        <v>28</v>
      </c>
      <c r="D250" t="s">
        <v>29</v>
      </c>
      <c r="E250" t="s">
        <v>36</v>
      </c>
      <c r="F250" t="s">
        <v>680</v>
      </c>
      <c r="G250" t="s">
        <v>32</v>
      </c>
      <c r="H250" t="s">
        <v>33</v>
      </c>
      <c r="I250" s="1" t="s">
        <v>38</v>
      </c>
      <c r="J250"/>
      <c r="K250"/>
      <c r="L250"/>
      <c r="M250"/>
      <c r="N250"/>
    </row>
    <row r="251" spans="1:14" ht="32" hidden="1">
      <c r="A251" t="s">
        <v>13</v>
      </c>
      <c r="B251" t="s">
        <v>648</v>
      </c>
      <c r="C251" t="s">
        <v>148</v>
      </c>
      <c r="D251" t="s">
        <v>149</v>
      </c>
      <c r="E251" t="s">
        <v>150</v>
      </c>
      <c r="F251" t="s">
        <v>681</v>
      </c>
      <c r="G251" t="s">
        <v>32</v>
      </c>
      <c r="H251" t="s">
        <v>152</v>
      </c>
      <c r="I251" s="1" t="s">
        <v>153</v>
      </c>
      <c r="J251"/>
      <c r="K251"/>
      <c r="L251"/>
      <c r="M251"/>
      <c r="N251"/>
    </row>
    <row r="252" spans="1:14" ht="32" hidden="1">
      <c r="A252" t="s">
        <v>13</v>
      </c>
      <c r="B252" t="s">
        <v>682</v>
      </c>
      <c r="C252" t="s">
        <v>148</v>
      </c>
      <c r="D252" t="s">
        <v>149</v>
      </c>
      <c r="E252" t="s">
        <v>150</v>
      </c>
      <c r="F252" t="s">
        <v>608</v>
      </c>
      <c r="G252" t="s">
        <v>32</v>
      </c>
      <c r="H252" t="s">
        <v>152</v>
      </c>
      <c r="I252" s="1" t="s">
        <v>153</v>
      </c>
      <c r="J252"/>
      <c r="K252"/>
      <c r="L252"/>
      <c r="M252"/>
      <c r="N252"/>
    </row>
    <row r="253" spans="1:14" ht="32" hidden="1">
      <c r="A253" t="s">
        <v>13</v>
      </c>
      <c r="B253" t="s">
        <v>659</v>
      </c>
      <c r="C253" t="s">
        <v>148</v>
      </c>
      <c r="D253" t="s">
        <v>149</v>
      </c>
      <c r="E253" t="s">
        <v>150</v>
      </c>
      <c r="F253" t="s">
        <v>683</v>
      </c>
      <c r="G253" t="s">
        <v>32</v>
      </c>
      <c r="H253" t="s">
        <v>152</v>
      </c>
      <c r="I253" s="1" t="s">
        <v>153</v>
      </c>
      <c r="J253"/>
      <c r="K253"/>
      <c r="L253"/>
      <c r="M253"/>
      <c r="N253"/>
    </row>
    <row r="254" spans="1:14" ht="16" hidden="1">
      <c r="A254" t="s">
        <v>13</v>
      </c>
      <c r="B254" t="s">
        <v>14</v>
      </c>
      <c r="C254" t="s">
        <v>15</v>
      </c>
      <c r="D254" t="s">
        <v>16</v>
      </c>
      <c r="E254" t="s">
        <v>17</v>
      </c>
      <c r="F254" t="s">
        <v>684</v>
      </c>
      <c r="G254" t="s">
        <v>32</v>
      </c>
      <c r="H254" s="11" t="s">
        <v>232</v>
      </c>
      <c r="I254" s="2" t="s">
        <v>325</v>
      </c>
      <c r="J254" s="4" t="s">
        <v>39</v>
      </c>
      <c r="K254" s="2" t="s">
        <v>685</v>
      </c>
      <c r="L254" s="2" t="str">
        <f>VLOOKUP(B254,Sheet2!F:Z,12,0)</f>
        <v>重插信号线</v>
      </c>
      <c r="M254" s="2" t="s">
        <v>41</v>
      </c>
    </row>
    <row r="255" spans="1:14" ht="16" hidden="1">
      <c r="A255" t="s">
        <v>13</v>
      </c>
      <c r="B255" t="s">
        <v>686</v>
      </c>
      <c r="C255" t="s">
        <v>148</v>
      </c>
      <c r="D255" t="s">
        <v>149</v>
      </c>
      <c r="E255" t="s">
        <v>150</v>
      </c>
      <c r="F255" t="s">
        <v>687</v>
      </c>
      <c r="G255" t="s">
        <v>19</v>
      </c>
      <c r="H255" t="s">
        <v>197</v>
      </c>
      <c r="I255" s="1" t="s">
        <v>198</v>
      </c>
      <c r="J255"/>
      <c r="K255"/>
      <c r="L255"/>
      <c r="M255"/>
      <c r="N255"/>
    </row>
    <row r="256" spans="1:14" ht="16" hidden="1">
      <c r="A256" t="s">
        <v>13</v>
      </c>
      <c r="B256" t="s">
        <v>688</v>
      </c>
      <c r="C256" t="s">
        <v>15</v>
      </c>
      <c r="D256" t="s">
        <v>16</v>
      </c>
      <c r="E256" t="s">
        <v>17</v>
      </c>
      <c r="F256" t="s">
        <v>689</v>
      </c>
      <c r="G256" t="s">
        <v>19</v>
      </c>
      <c r="H256" t="s">
        <v>20</v>
      </c>
      <c r="I256" s="1" t="s">
        <v>21</v>
      </c>
      <c r="J256"/>
      <c r="K256"/>
      <c r="L256"/>
      <c r="M256"/>
      <c r="N256"/>
    </row>
    <row r="257" spans="1:14" ht="80" hidden="1">
      <c r="A257" t="s">
        <v>13</v>
      </c>
      <c r="B257" t="s">
        <v>690</v>
      </c>
      <c r="C257" t="s">
        <v>28</v>
      </c>
      <c r="D257" t="s">
        <v>29</v>
      </c>
      <c r="E257" t="s">
        <v>60</v>
      </c>
      <c r="F257" t="s">
        <v>691</v>
      </c>
      <c r="G257" t="s">
        <v>19</v>
      </c>
      <c r="H257" t="s">
        <v>85</v>
      </c>
      <c r="I257" s="1" t="s">
        <v>692</v>
      </c>
      <c r="J257"/>
      <c r="K257"/>
      <c r="L257"/>
      <c r="M257"/>
      <c r="N257"/>
    </row>
    <row r="258" spans="1:14" ht="16" hidden="1">
      <c r="A258" t="s">
        <v>13</v>
      </c>
      <c r="B258" t="s">
        <v>602</v>
      </c>
      <c r="C258" t="s">
        <v>15</v>
      </c>
      <c r="D258" t="s">
        <v>16</v>
      </c>
      <c r="E258" t="s">
        <v>17</v>
      </c>
      <c r="F258" t="s">
        <v>693</v>
      </c>
      <c r="G258" t="s">
        <v>19</v>
      </c>
      <c r="H258" t="s">
        <v>358</v>
      </c>
      <c r="I258" s="1" t="s">
        <v>21</v>
      </c>
      <c r="J258"/>
      <c r="K258"/>
      <c r="L258"/>
      <c r="M258"/>
      <c r="N258"/>
    </row>
    <row r="259" spans="1:14" ht="32">
      <c r="A259" t="s">
        <v>13</v>
      </c>
      <c r="B259" t="s">
        <v>694</v>
      </c>
      <c r="C259" t="s">
        <v>148</v>
      </c>
      <c r="D259" t="s">
        <v>149</v>
      </c>
      <c r="E259" t="s">
        <v>195</v>
      </c>
      <c r="F259" t="s">
        <v>695</v>
      </c>
      <c r="G259" t="s">
        <v>19</v>
      </c>
      <c r="H259" s="11" t="s">
        <v>109</v>
      </c>
      <c r="I259" s="2" t="s">
        <v>696</v>
      </c>
      <c r="J259" s="4" t="s">
        <v>39</v>
      </c>
      <c r="K259" s="2" t="s">
        <v>697</v>
      </c>
      <c r="L259" s="2" t="str">
        <f>VLOOKUP(B259,Sheet2!F:Z,12,0)</f>
        <v>更换电源</v>
      </c>
      <c r="M259" s="2" t="s">
        <v>99</v>
      </c>
      <c r="N259" s="3">
        <v>0</v>
      </c>
    </row>
    <row r="260" spans="1:14" ht="96">
      <c r="A260" t="s">
        <v>13</v>
      </c>
      <c r="B260" t="s">
        <v>35</v>
      </c>
      <c r="C260" t="s">
        <v>28</v>
      </c>
      <c r="D260" t="s">
        <v>29</v>
      </c>
      <c r="E260" t="s">
        <v>36</v>
      </c>
      <c r="F260" t="s">
        <v>698</v>
      </c>
      <c r="G260" t="s">
        <v>32</v>
      </c>
      <c r="H260" s="11" t="s">
        <v>33</v>
      </c>
      <c r="I260" s="2" t="s">
        <v>38</v>
      </c>
      <c r="J260" s="4" t="s">
        <v>39</v>
      </c>
      <c r="K260" s="2" t="s">
        <v>40</v>
      </c>
      <c r="L260" s="2" t="str">
        <f>VLOOKUP(B260,Sheet2!F:Z,12,0)</f>
        <v>重插MCIO线</v>
      </c>
      <c r="M260" s="2" t="s">
        <v>41</v>
      </c>
      <c r="N260" s="3">
        <v>0</v>
      </c>
    </row>
    <row r="261" spans="1:14" ht="96" hidden="1">
      <c r="A261" t="s">
        <v>13</v>
      </c>
      <c r="B261" t="s">
        <v>618</v>
      </c>
      <c r="C261" t="s">
        <v>28</v>
      </c>
      <c r="D261" t="s">
        <v>29</v>
      </c>
      <c r="E261" t="s">
        <v>36</v>
      </c>
      <c r="F261" t="s">
        <v>699</v>
      </c>
      <c r="G261" t="s">
        <v>32</v>
      </c>
      <c r="H261" s="11" t="s">
        <v>33</v>
      </c>
      <c r="I261" s="2" t="s">
        <v>38</v>
      </c>
      <c r="J261" s="4" t="s">
        <v>39</v>
      </c>
      <c r="K261" s="2" t="s">
        <v>621</v>
      </c>
      <c r="L261" s="2" t="str">
        <f>VLOOKUP(B261,Sheet2!F:Z,12,0)</f>
        <v>更换内存</v>
      </c>
      <c r="M261" s="2" t="s">
        <v>99</v>
      </c>
    </row>
    <row r="262" spans="1:14" ht="16" hidden="1">
      <c r="A262" t="s">
        <v>13</v>
      </c>
      <c r="B262" t="s">
        <v>116</v>
      </c>
      <c r="C262" t="s">
        <v>15</v>
      </c>
      <c r="D262" t="s">
        <v>16</v>
      </c>
      <c r="E262" t="s">
        <v>117</v>
      </c>
      <c r="F262" t="s">
        <v>700</v>
      </c>
      <c r="G262" t="s">
        <v>32</v>
      </c>
      <c r="H262" s="11" t="s">
        <v>701</v>
      </c>
      <c r="I262" s="2" t="s">
        <v>702</v>
      </c>
      <c r="J262" s="4" t="s">
        <v>39</v>
      </c>
      <c r="K262" s="2" t="s">
        <v>341</v>
      </c>
      <c r="L262" s="2" t="str">
        <f>VLOOKUP(B262,Sheet2!F:Z,12,0)</f>
        <v>重插CPU</v>
      </c>
      <c r="M262" s="2" t="s">
        <v>41</v>
      </c>
    </row>
    <row r="263" spans="1:14" ht="64" hidden="1">
      <c r="A263" t="s">
        <v>13</v>
      </c>
      <c r="B263" t="s">
        <v>690</v>
      </c>
      <c r="C263" t="s">
        <v>28</v>
      </c>
      <c r="D263" t="s">
        <v>29</v>
      </c>
      <c r="E263" t="s">
        <v>60</v>
      </c>
      <c r="F263" t="s">
        <v>703</v>
      </c>
      <c r="G263" t="s">
        <v>19</v>
      </c>
      <c r="H263" t="s">
        <v>85</v>
      </c>
      <c r="I263" s="1" t="s">
        <v>704</v>
      </c>
      <c r="J263"/>
      <c r="K263"/>
      <c r="L263"/>
      <c r="M263"/>
      <c r="N263"/>
    </row>
    <row r="264" spans="1:14" ht="64" hidden="1">
      <c r="A264" t="s">
        <v>13</v>
      </c>
      <c r="B264" t="s">
        <v>674</v>
      </c>
      <c r="C264" t="s">
        <v>28</v>
      </c>
      <c r="D264" t="s">
        <v>29</v>
      </c>
      <c r="E264" t="s">
        <v>60</v>
      </c>
      <c r="F264" t="s">
        <v>705</v>
      </c>
      <c r="G264" t="s">
        <v>32</v>
      </c>
      <c r="H264" s="11" t="s">
        <v>33</v>
      </c>
      <c r="I264" s="2" t="s">
        <v>706</v>
      </c>
      <c r="J264" s="4" t="s">
        <v>39</v>
      </c>
      <c r="K264" s="2" t="s">
        <v>707</v>
      </c>
      <c r="L264" s="2" t="str">
        <f>VLOOKUP(B264,Sheet2!F:Z,12,0)</f>
        <v>更换信号线</v>
      </c>
      <c r="M264" s="2" t="s">
        <v>99</v>
      </c>
    </row>
    <row r="265" spans="1:14" ht="32" hidden="1">
      <c r="A265" t="s">
        <v>13</v>
      </c>
      <c r="B265" t="s">
        <v>314</v>
      </c>
      <c r="C265" t="s">
        <v>148</v>
      </c>
      <c r="D265" t="s">
        <v>149</v>
      </c>
      <c r="E265" t="s">
        <v>150</v>
      </c>
      <c r="F265" t="s">
        <v>708</v>
      </c>
      <c r="G265" t="s">
        <v>32</v>
      </c>
      <c r="H265" t="s">
        <v>152</v>
      </c>
      <c r="I265" s="1" t="s">
        <v>153</v>
      </c>
      <c r="J265"/>
      <c r="K265"/>
      <c r="L265"/>
      <c r="M265"/>
      <c r="N265"/>
    </row>
    <row r="266" spans="1:14" ht="32" hidden="1">
      <c r="A266" t="s">
        <v>13</v>
      </c>
      <c r="B266" t="s">
        <v>709</v>
      </c>
      <c r="C266" t="s">
        <v>148</v>
      </c>
      <c r="D266" t="s">
        <v>149</v>
      </c>
      <c r="E266" t="s">
        <v>150</v>
      </c>
      <c r="F266" t="s">
        <v>157</v>
      </c>
      <c r="G266" t="s">
        <v>32</v>
      </c>
      <c r="H266" t="s">
        <v>152</v>
      </c>
      <c r="I266" s="1" t="s">
        <v>153</v>
      </c>
      <c r="J266"/>
      <c r="K266"/>
      <c r="L266"/>
      <c r="M266"/>
      <c r="N266"/>
    </row>
    <row r="267" spans="1:14" ht="32" hidden="1">
      <c r="A267" t="s">
        <v>13</v>
      </c>
      <c r="B267" t="s">
        <v>710</v>
      </c>
      <c r="C267" t="s">
        <v>148</v>
      </c>
      <c r="D267" t="s">
        <v>149</v>
      </c>
      <c r="E267" t="s">
        <v>150</v>
      </c>
      <c r="F267" t="s">
        <v>177</v>
      </c>
      <c r="G267" t="s">
        <v>32</v>
      </c>
      <c r="H267" t="s">
        <v>152</v>
      </c>
      <c r="I267" s="1" t="s">
        <v>153</v>
      </c>
      <c r="J267"/>
      <c r="K267"/>
      <c r="L267"/>
      <c r="M267"/>
      <c r="N267"/>
    </row>
    <row r="268" spans="1:14" ht="32" hidden="1">
      <c r="A268" t="s">
        <v>13</v>
      </c>
      <c r="B268" t="s">
        <v>686</v>
      </c>
      <c r="C268" t="s">
        <v>148</v>
      </c>
      <c r="D268" t="s">
        <v>149</v>
      </c>
      <c r="E268" t="s">
        <v>150</v>
      </c>
      <c r="F268" t="s">
        <v>608</v>
      </c>
      <c r="G268" t="s">
        <v>32</v>
      </c>
      <c r="H268" t="s">
        <v>152</v>
      </c>
      <c r="I268" s="1" t="s">
        <v>153</v>
      </c>
      <c r="J268"/>
      <c r="K268"/>
      <c r="L268"/>
      <c r="M268"/>
      <c r="N268"/>
    </row>
    <row r="269" spans="1:14" ht="32" hidden="1">
      <c r="A269" t="s">
        <v>13</v>
      </c>
      <c r="B269" t="s">
        <v>711</v>
      </c>
      <c r="C269" t="s">
        <v>148</v>
      </c>
      <c r="D269" t="s">
        <v>149</v>
      </c>
      <c r="E269" t="s">
        <v>150</v>
      </c>
      <c r="F269" t="s">
        <v>712</v>
      </c>
      <c r="G269" t="s">
        <v>32</v>
      </c>
      <c r="H269" t="s">
        <v>152</v>
      </c>
      <c r="I269" s="1" t="s">
        <v>153</v>
      </c>
      <c r="J269"/>
      <c r="K269"/>
      <c r="L269"/>
      <c r="M269"/>
      <c r="N269"/>
    </row>
    <row r="270" spans="1:14" ht="16" hidden="1">
      <c r="A270" t="s">
        <v>13</v>
      </c>
      <c r="B270" t="s">
        <v>116</v>
      </c>
      <c r="C270" t="s">
        <v>15</v>
      </c>
      <c r="D270" t="s">
        <v>16</v>
      </c>
      <c r="E270" t="s">
        <v>117</v>
      </c>
      <c r="F270" t="s">
        <v>713</v>
      </c>
      <c r="G270" t="s">
        <v>32</v>
      </c>
      <c r="H270" s="11" t="s">
        <v>232</v>
      </c>
      <c r="I270" s="2" t="s">
        <v>233</v>
      </c>
      <c r="J270" s="4" t="s">
        <v>39</v>
      </c>
      <c r="K270" s="2" t="s">
        <v>341</v>
      </c>
      <c r="L270" s="2" t="str">
        <f>VLOOKUP(B270,Sheet2!F:Z,12,0)</f>
        <v>重插CPU</v>
      </c>
      <c r="M270" s="2" t="s">
        <v>41</v>
      </c>
    </row>
    <row r="271" spans="1:14" ht="16" hidden="1">
      <c r="A271" t="s">
        <v>13</v>
      </c>
      <c r="B271" t="s">
        <v>116</v>
      </c>
      <c r="C271" t="s">
        <v>15</v>
      </c>
      <c r="D271" t="s">
        <v>16</v>
      </c>
      <c r="E271" t="s">
        <v>117</v>
      </c>
      <c r="F271" t="s">
        <v>714</v>
      </c>
      <c r="G271" t="s">
        <v>32</v>
      </c>
      <c r="H271" s="11" t="s">
        <v>232</v>
      </c>
      <c r="I271" s="2" t="s">
        <v>715</v>
      </c>
      <c r="J271" s="4" t="s">
        <v>39</v>
      </c>
      <c r="K271" s="2" t="s">
        <v>341</v>
      </c>
      <c r="L271" s="2" t="str">
        <f>VLOOKUP(B271,Sheet2!F:Z,12,0)</f>
        <v>重插CPU</v>
      </c>
      <c r="M271" s="2" t="s">
        <v>41</v>
      </c>
    </row>
    <row r="272" spans="1:14" ht="64" hidden="1">
      <c r="A272" t="s">
        <v>13</v>
      </c>
      <c r="B272" t="s">
        <v>716</v>
      </c>
      <c r="C272" t="s">
        <v>28</v>
      </c>
      <c r="D272" t="s">
        <v>29</v>
      </c>
      <c r="E272" t="s">
        <v>83</v>
      </c>
      <c r="F272" t="s">
        <v>717</v>
      </c>
      <c r="G272" t="s">
        <v>19</v>
      </c>
      <c r="H272" t="s">
        <v>137</v>
      </c>
      <c r="I272" s="1" t="s">
        <v>718</v>
      </c>
      <c r="J272"/>
      <c r="K272"/>
      <c r="L272"/>
      <c r="M272"/>
      <c r="N272"/>
    </row>
    <row r="273" spans="1:14" ht="16" hidden="1">
      <c r="A273" t="s">
        <v>13</v>
      </c>
      <c r="B273" t="s">
        <v>719</v>
      </c>
      <c r="C273" t="s">
        <v>15</v>
      </c>
      <c r="D273" t="s">
        <v>16</v>
      </c>
      <c r="E273" t="s">
        <v>23</v>
      </c>
      <c r="F273" t="s">
        <v>720</v>
      </c>
      <c r="G273" t="s">
        <v>32</v>
      </c>
      <c r="H273" t="s">
        <v>232</v>
      </c>
      <c r="I273" s="1" t="s">
        <v>721</v>
      </c>
      <c r="J273"/>
      <c r="K273"/>
      <c r="L273"/>
      <c r="M273"/>
      <c r="N273"/>
    </row>
    <row r="274" spans="1:14" ht="32" hidden="1">
      <c r="A274" t="s">
        <v>13</v>
      </c>
      <c r="B274" t="s">
        <v>665</v>
      </c>
      <c r="C274" t="s">
        <v>148</v>
      </c>
      <c r="D274" t="s">
        <v>149</v>
      </c>
      <c r="E274" t="s">
        <v>150</v>
      </c>
      <c r="F274" t="s">
        <v>722</v>
      </c>
      <c r="G274" t="s">
        <v>32</v>
      </c>
      <c r="H274" t="s">
        <v>152</v>
      </c>
      <c r="I274" s="1" t="s">
        <v>153</v>
      </c>
      <c r="J274"/>
      <c r="K274"/>
      <c r="L274"/>
      <c r="M274"/>
      <c r="N274"/>
    </row>
    <row r="275" spans="1:14" ht="16" hidden="1">
      <c r="A275" t="s">
        <v>13</v>
      </c>
      <c r="B275" t="s">
        <v>667</v>
      </c>
      <c r="C275" t="s">
        <v>15</v>
      </c>
      <c r="D275" t="s">
        <v>16</v>
      </c>
      <c r="E275" t="s">
        <v>17</v>
      </c>
      <c r="F275" t="s">
        <v>723</v>
      </c>
      <c r="G275" t="s">
        <v>32</v>
      </c>
      <c r="H275" t="s">
        <v>192</v>
      </c>
      <c r="I275" s="1" t="s">
        <v>193</v>
      </c>
      <c r="J275"/>
      <c r="K275"/>
      <c r="L275"/>
      <c r="M275"/>
      <c r="N275"/>
    </row>
    <row r="276" spans="1:14" ht="64" hidden="1">
      <c r="A276" t="s">
        <v>13</v>
      </c>
      <c r="B276" t="s">
        <v>724</v>
      </c>
      <c r="C276" t="s">
        <v>28</v>
      </c>
      <c r="D276" t="s">
        <v>29</v>
      </c>
      <c r="E276" t="s">
        <v>60</v>
      </c>
      <c r="F276" t="s">
        <v>725</v>
      </c>
      <c r="G276" t="s">
        <v>19</v>
      </c>
      <c r="H276" t="s">
        <v>290</v>
      </c>
      <c r="I276" s="1" t="s">
        <v>726</v>
      </c>
      <c r="J276"/>
      <c r="K276"/>
      <c r="L276"/>
      <c r="M276"/>
      <c r="N276"/>
    </row>
    <row r="277" spans="1:14" ht="16" hidden="1">
      <c r="A277" t="s">
        <v>13</v>
      </c>
      <c r="B277" t="s">
        <v>248</v>
      </c>
      <c r="C277" t="s">
        <v>15</v>
      </c>
      <c r="D277" t="s">
        <v>16</v>
      </c>
      <c r="E277" t="s">
        <v>23</v>
      </c>
      <c r="F277" t="s">
        <v>727</v>
      </c>
      <c r="G277" t="s">
        <v>19</v>
      </c>
      <c r="H277" t="s">
        <v>20</v>
      </c>
      <c r="I277" s="1" t="s">
        <v>21</v>
      </c>
      <c r="J277"/>
      <c r="K277"/>
      <c r="L277"/>
      <c r="M277"/>
      <c r="N277"/>
    </row>
    <row r="278" spans="1:14" ht="96" hidden="1">
      <c r="A278" t="s">
        <v>13</v>
      </c>
      <c r="B278" t="s">
        <v>618</v>
      </c>
      <c r="C278" t="s">
        <v>28</v>
      </c>
      <c r="D278" t="s">
        <v>29</v>
      </c>
      <c r="E278" t="s">
        <v>36</v>
      </c>
      <c r="F278" t="s">
        <v>728</v>
      </c>
      <c r="G278" t="s">
        <v>32</v>
      </c>
      <c r="H278" s="11" t="s">
        <v>33</v>
      </c>
      <c r="I278" s="2" t="s">
        <v>38</v>
      </c>
      <c r="J278" s="4" t="s">
        <v>39</v>
      </c>
      <c r="K278" s="2" t="s">
        <v>621</v>
      </c>
      <c r="L278" s="2" t="str">
        <f>VLOOKUP(B278,Sheet2!F:Z,12,0)</f>
        <v>更换内存</v>
      </c>
      <c r="M278" s="2" t="s">
        <v>99</v>
      </c>
    </row>
    <row r="279" spans="1:14" ht="16" hidden="1">
      <c r="A279" t="s">
        <v>13</v>
      </c>
      <c r="B279" t="s">
        <v>729</v>
      </c>
      <c r="C279" t="s">
        <v>43</v>
      </c>
      <c r="D279" t="s">
        <v>44</v>
      </c>
      <c r="E279" t="s">
        <v>179</v>
      </c>
      <c r="F279" t="s">
        <v>730</v>
      </c>
      <c r="G279" t="s">
        <v>19</v>
      </c>
      <c r="H279" t="s">
        <v>102</v>
      </c>
      <c r="I279" s="1" t="s">
        <v>170</v>
      </c>
      <c r="J279"/>
      <c r="K279"/>
      <c r="L279"/>
      <c r="M279"/>
      <c r="N279"/>
    </row>
    <row r="280" spans="1:14" ht="64" hidden="1">
      <c r="A280" t="s">
        <v>13</v>
      </c>
      <c r="B280" t="s">
        <v>731</v>
      </c>
      <c r="C280" t="s">
        <v>43</v>
      </c>
      <c r="D280" t="s">
        <v>44</v>
      </c>
      <c r="E280" t="s">
        <v>167</v>
      </c>
      <c r="F280" t="s">
        <v>732</v>
      </c>
      <c r="G280" t="s">
        <v>19</v>
      </c>
      <c r="H280" t="s">
        <v>444</v>
      </c>
      <c r="I280" s="1" t="s">
        <v>733</v>
      </c>
      <c r="J280"/>
      <c r="K280"/>
      <c r="L280"/>
      <c r="M280"/>
      <c r="N280"/>
    </row>
    <row r="281" spans="1:14" ht="16" hidden="1">
      <c r="A281" t="s">
        <v>13</v>
      </c>
      <c r="B281" t="s">
        <v>667</v>
      </c>
      <c r="C281" t="s">
        <v>15</v>
      </c>
      <c r="D281" t="s">
        <v>16</v>
      </c>
      <c r="E281" t="s">
        <v>17</v>
      </c>
      <c r="F281" t="s">
        <v>734</v>
      </c>
      <c r="G281" t="s">
        <v>32</v>
      </c>
      <c r="H281" t="s">
        <v>355</v>
      </c>
      <c r="I281" s="1" t="s">
        <v>21</v>
      </c>
      <c r="J281"/>
      <c r="K281"/>
      <c r="L281"/>
      <c r="M281"/>
      <c r="N281"/>
    </row>
    <row r="282" spans="1:14" ht="64" hidden="1">
      <c r="A282" t="s">
        <v>13</v>
      </c>
      <c r="B282" t="s">
        <v>735</v>
      </c>
      <c r="C282" t="s">
        <v>28</v>
      </c>
      <c r="D282" t="s">
        <v>29</v>
      </c>
      <c r="E282" t="s">
        <v>60</v>
      </c>
      <c r="F282" t="s">
        <v>736</v>
      </c>
      <c r="G282" t="s">
        <v>19</v>
      </c>
      <c r="H282" t="s">
        <v>290</v>
      </c>
      <c r="I282" s="1" t="s">
        <v>737</v>
      </c>
      <c r="J282"/>
      <c r="K282"/>
      <c r="L282"/>
      <c r="M282"/>
      <c r="N282"/>
    </row>
    <row r="283" spans="1:14" ht="64" hidden="1">
      <c r="A283" t="s">
        <v>13</v>
      </c>
      <c r="B283" t="s">
        <v>738</v>
      </c>
      <c r="C283" t="s">
        <v>43</v>
      </c>
      <c r="D283" t="s">
        <v>44</v>
      </c>
      <c r="E283" t="s">
        <v>179</v>
      </c>
      <c r="F283" t="s">
        <v>739</v>
      </c>
      <c r="G283" t="s">
        <v>19</v>
      </c>
      <c r="H283" t="s">
        <v>740</v>
      </c>
      <c r="I283" s="1" t="s">
        <v>741</v>
      </c>
      <c r="J283"/>
      <c r="K283"/>
      <c r="L283"/>
      <c r="M283"/>
      <c r="N283"/>
    </row>
    <row r="284" spans="1:14" ht="96" hidden="1">
      <c r="A284" t="s">
        <v>13</v>
      </c>
      <c r="B284" t="s">
        <v>82</v>
      </c>
      <c r="C284" t="s">
        <v>28</v>
      </c>
      <c r="D284" t="s">
        <v>29</v>
      </c>
      <c r="E284" t="s">
        <v>83</v>
      </c>
      <c r="F284" t="s">
        <v>742</v>
      </c>
      <c r="G284" t="s">
        <v>32</v>
      </c>
      <c r="H284" s="11" t="s">
        <v>33</v>
      </c>
      <c r="I284" s="2" t="s">
        <v>38</v>
      </c>
      <c r="J284" s="4" t="s">
        <v>39</v>
      </c>
      <c r="K284" s="2" t="s">
        <v>390</v>
      </c>
      <c r="L284" s="2" t="str">
        <f>VLOOKUP(B284,Sheet2!F:Z,12,0)</f>
        <v>重插数据线</v>
      </c>
      <c r="M284" s="2" t="s">
        <v>99</v>
      </c>
    </row>
    <row r="285" spans="1:14" ht="64" hidden="1">
      <c r="A285" t="s">
        <v>13</v>
      </c>
      <c r="B285" t="s">
        <v>743</v>
      </c>
      <c r="C285" t="s">
        <v>43</v>
      </c>
      <c r="D285" t="s">
        <v>44</v>
      </c>
      <c r="E285" t="s">
        <v>54</v>
      </c>
      <c r="F285" t="s">
        <v>744</v>
      </c>
      <c r="G285" t="s">
        <v>19</v>
      </c>
      <c r="H285" t="s">
        <v>259</v>
      </c>
      <c r="I285" s="1" t="s">
        <v>745</v>
      </c>
      <c r="J285"/>
      <c r="K285"/>
      <c r="L285"/>
      <c r="M285"/>
      <c r="N285"/>
    </row>
    <row r="286" spans="1:14" ht="48" hidden="1">
      <c r="A286" t="s">
        <v>13</v>
      </c>
      <c r="B286" t="s">
        <v>746</v>
      </c>
      <c r="C286" t="s">
        <v>28</v>
      </c>
      <c r="D286" t="s">
        <v>29</v>
      </c>
      <c r="E286" t="s">
        <v>60</v>
      </c>
      <c r="F286" t="s">
        <v>747</v>
      </c>
      <c r="G286" t="s">
        <v>19</v>
      </c>
      <c r="H286" t="s">
        <v>628</v>
      </c>
      <c r="I286" s="1" t="s">
        <v>748</v>
      </c>
      <c r="J286"/>
      <c r="K286"/>
      <c r="L286"/>
      <c r="M286"/>
      <c r="N286"/>
    </row>
    <row r="287" spans="1:14" ht="16" hidden="1">
      <c r="A287" t="s">
        <v>13</v>
      </c>
      <c r="B287" t="s">
        <v>654</v>
      </c>
      <c r="C287" t="s">
        <v>43</v>
      </c>
      <c r="D287" t="s">
        <v>44</v>
      </c>
      <c r="E287" t="s">
        <v>45</v>
      </c>
      <c r="F287" t="s">
        <v>749</v>
      </c>
      <c r="G287" t="s">
        <v>113</v>
      </c>
      <c r="H287" t="s">
        <v>555</v>
      </c>
      <c r="I287" s="1" t="s">
        <v>750</v>
      </c>
      <c r="J287"/>
      <c r="K287"/>
      <c r="L287"/>
      <c r="M287"/>
      <c r="N287"/>
    </row>
    <row r="288" spans="1:14" ht="16" hidden="1">
      <c r="A288" t="s">
        <v>13</v>
      </c>
      <c r="B288" t="s">
        <v>625</v>
      </c>
      <c r="C288" t="s">
        <v>43</v>
      </c>
      <c r="D288" t="s">
        <v>44</v>
      </c>
      <c r="E288" t="s">
        <v>45</v>
      </c>
      <c r="F288" t="s">
        <v>751</v>
      </c>
      <c r="G288" t="s">
        <v>113</v>
      </c>
      <c r="H288" t="s">
        <v>555</v>
      </c>
      <c r="I288" s="1" t="s">
        <v>556</v>
      </c>
      <c r="J288"/>
      <c r="K288"/>
      <c r="L288"/>
      <c r="M288"/>
      <c r="N288"/>
    </row>
    <row r="289" spans="1:14" ht="64" hidden="1">
      <c r="A289" t="s">
        <v>13</v>
      </c>
      <c r="B289" t="s">
        <v>752</v>
      </c>
      <c r="C289" t="s">
        <v>148</v>
      </c>
      <c r="D289" t="s">
        <v>149</v>
      </c>
      <c r="E289" t="s">
        <v>208</v>
      </c>
      <c r="F289" t="s">
        <v>753</v>
      </c>
      <c r="G289" t="s">
        <v>19</v>
      </c>
      <c r="H289" t="s">
        <v>63</v>
      </c>
      <c r="I289" s="1" t="s">
        <v>754</v>
      </c>
      <c r="J289"/>
      <c r="K289"/>
      <c r="L289"/>
      <c r="M289"/>
      <c r="N289"/>
    </row>
    <row r="290" spans="1:14" ht="64" hidden="1">
      <c r="A290" t="s">
        <v>13</v>
      </c>
      <c r="B290" t="s">
        <v>755</v>
      </c>
      <c r="C290" t="s">
        <v>43</v>
      </c>
      <c r="D290" t="s">
        <v>44</v>
      </c>
      <c r="E290" t="s">
        <v>45</v>
      </c>
      <c r="F290" t="s">
        <v>756</v>
      </c>
      <c r="G290" t="s">
        <v>19</v>
      </c>
      <c r="H290" t="s">
        <v>51</v>
      </c>
      <c r="I290" s="1" t="s">
        <v>757</v>
      </c>
      <c r="J290"/>
      <c r="K290"/>
      <c r="L290"/>
      <c r="M290"/>
      <c r="N290"/>
    </row>
    <row r="291" spans="1:14" ht="32" hidden="1">
      <c r="A291" t="s">
        <v>13</v>
      </c>
      <c r="B291" t="s">
        <v>49</v>
      </c>
      <c r="C291" t="s">
        <v>43</v>
      </c>
      <c r="D291" t="s">
        <v>44</v>
      </c>
      <c r="E291" t="s">
        <v>45</v>
      </c>
      <c r="F291" t="s">
        <v>758</v>
      </c>
      <c r="G291" t="s">
        <v>32</v>
      </c>
      <c r="H291" t="s">
        <v>152</v>
      </c>
      <c r="I291" s="1" t="s">
        <v>759</v>
      </c>
      <c r="J291"/>
      <c r="K291"/>
      <c r="L291"/>
      <c r="M291"/>
      <c r="N291"/>
    </row>
    <row r="292" spans="1:14" ht="32" hidden="1">
      <c r="A292" t="s">
        <v>13</v>
      </c>
      <c r="B292" t="s">
        <v>752</v>
      </c>
      <c r="C292" t="s">
        <v>148</v>
      </c>
      <c r="D292" t="s">
        <v>149</v>
      </c>
      <c r="E292" t="s">
        <v>208</v>
      </c>
      <c r="F292" t="s">
        <v>760</v>
      </c>
      <c r="G292" t="s">
        <v>19</v>
      </c>
      <c r="H292" t="s">
        <v>152</v>
      </c>
      <c r="I292" s="1" t="s">
        <v>761</v>
      </c>
      <c r="J292"/>
      <c r="K292"/>
      <c r="L292"/>
      <c r="M292"/>
      <c r="N292"/>
    </row>
    <row r="293" spans="1:14" ht="96" hidden="1">
      <c r="A293" t="s">
        <v>13</v>
      </c>
      <c r="B293" t="s">
        <v>234</v>
      </c>
      <c r="C293" t="s">
        <v>43</v>
      </c>
      <c r="D293" t="s">
        <v>44</v>
      </c>
      <c r="E293" t="s">
        <v>45</v>
      </c>
      <c r="F293" t="s">
        <v>762</v>
      </c>
      <c r="G293" t="s">
        <v>19</v>
      </c>
      <c r="H293" s="11" t="s">
        <v>259</v>
      </c>
      <c r="I293" s="2" t="s">
        <v>763</v>
      </c>
      <c r="J293" s="4" t="s">
        <v>39</v>
      </c>
      <c r="K293" s="2" t="s">
        <v>237</v>
      </c>
      <c r="L293" s="2" t="str">
        <f>VLOOKUP(B293,Sheet2!F:Z,12,0)</f>
        <v>更换硬盘</v>
      </c>
      <c r="M293" s="2" t="s">
        <v>41</v>
      </c>
    </row>
    <row r="294" spans="1:14" ht="16" hidden="1">
      <c r="A294" t="s">
        <v>13</v>
      </c>
      <c r="B294" t="s">
        <v>688</v>
      </c>
      <c r="C294" t="s">
        <v>15</v>
      </c>
      <c r="D294" t="s">
        <v>16</v>
      </c>
      <c r="E294" t="s">
        <v>17</v>
      </c>
      <c r="F294" t="s">
        <v>764</v>
      </c>
      <c r="G294" t="s">
        <v>19</v>
      </c>
      <c r="H294" t="s">
        <v>20</v>
      </c>
      <c r="I294" s="1" t="s">
        <v>233</v>
      </c>
      <c r="J294"/>
      <c r="K294"/>
      <c r="L294"/>
      <c r="M294"/>
      <c r="N294"/>
    </row>
    <row r="295" spans="1:14" ht="96">
      <c r="A295" t="s">
        <v>13</v>
      </c>
      <c r="B295" t="s">
        <v>35</v>
      </c>
      <c r="C295" t="s">
        <v>28</v>
      </c>
      <c r="D295" t="s">
        <v>29</v>
      </c>
      <c r="E295" t="s">
        <v>36</v>
      </c>
      <c r="F295" t="s">
        <v>765</v>
      </c>
      <c r="G295" t="s">
        <v>32</v>
      </c>
      <c r="H295" s="11" t="s">
        <v>33</v>
      </c>
      <c r="I295" s="2" t="s">
        <v>38</v>
      </c>
      <c r="J295" s="4" t="s">
        <v>39</v>
      </c>
      <c r="K295" s="2" t="s">
        <v>40</v>
      </c>
      <c r="L295" s="2" t="str">
        <f>VLOOKUP(B295,Sheet2!F:Z,12,0)</f>
        <v>重插MCIO线</v>
      </c>
      <c r="M295" s="2" t="s">
        <v>41</v>
      </c>
      <c r="N295" s="3">
        <v>0</v>
      </c>
    </row>
    <row r="296" spans="1:14" ht="64" hidden="1">
      <c r="A296" t="s">
        <v>13</v>
      </c>
      <c r="B296" t="s">
        <v>49</v>
      </c>
      <c r="C296" t="s">
        <v>43</v>
      </c>
      <c r="D296" t="s">
        <v>44</v>
      </c>
      <c r="E296" t="s">
        <v>45</v>
      </c>
      <c r="F296" t="s">
        <v>766</v>
      </c>
      <c r="G296" t="s">
        <v>19</v>
      </c>
      <c r="H296" t="s">
        <v>51</v>
      </c>
      <c r="I296" s="1" t="s">
        <v>767</v>
      </c>
      <c r="J296"/>
      <c r="K296"/>
      <c r="L296"/>
      <c r="M296"/>
      <c r="N296"/>
    </row>
    <row r="297" spans="1:14" ht="32" hidden="1">
      <c r="A297" t="s">
        <v>13</v>
      </c>
      <c r="B297" t="s">
        <v>674</v>
      </c>
      <c r="C297" t="s">
        <v>28</v>
      </c>
      <c r="D297" t="s">
        <v>29</v>
      </c>
      <c r="E297" t="s">
        <v>60</v>
      </c>
      <c r="F297" t="s">
        <v>768</v>
      </c>
      <c r="G297" t="s">
        <v>19</v>
      </c>
      <c r="H297" t="s">
        <v>145</v>
      </c>
      <c r="I297" s="1" t="s">
        <v>769</v>
      </c>
      <c r="J297"/>
      <c r="K297"/>
      <c r="L297"/>
      <c r="M297"/>
      <c r="N297"/>
    </row>
    <row r="298" spans="1:14" ht="16" hidden="1">
      <c r="A298" t="s">
        <v>13</v>
      </c>
      <c r="B298" t="s">
        <v>572</v>
      </c>
      <c r="C298" t="s">
        <v>15</v>
      </c>
      <c r="D298" t="s">
        <v>16</v>
      </c>
      <c r="E298" t="s">
        <v>23</v>
      </c>
      <c r="F298" t="s">
        <v>770</v>
      </c>
      <c r="G298" t="s">
        <v>19</v>
      </c>
      <c r="H298" t="s">
        <v>509</v>
      </c>
      <c r="I298" s="1" t="s">
        <v>570</v>
      </c>
      <c r="J298"/>
      <c r="K298"/>
      <c r="L298"/>
      <c r="M298"/>
      <c r="N298"/>
    </row>
    <row r="299" spans="1:14" ht="48" hidden="1">
      <c r="A299" t="s">
        <v>13</v>
      </c>
      <c r="B299" t="s">
        <v>771</v>
      </c>
      <c r="C299" t="s">
        <v>28</v>
      </c>
      <c r="D299" t="s">
        <v>29</v>
      </c>
      <c r="E299" t="s">
        <v>36</v>
      </c>
      <c r="F299" t="s">
        <v>772</v>
      </c>
      <c r="G299" t="s">
        <v>19</v>
      </c>
      <c r="H299" t="s">
        <v>137</v>
      </c>
      <c r="I299" s="1" t="s">
        <v>773</v>
      </c>
      <c r="J299"/>
      <c r="K299"/>
      <c r="L299"/>
      <c r="M299"/>
      <c r="N299"/>
    </row>
    <row r="300" spans="1:14" ht="16" hidden="1">
      <c r="A300" t="s">
        <v>13</v>
      </c>
      <c r="B300" t="s">
        <v>93</v>
      </c>
      <c r="C300" t="s">
        <v>15</v>
      </c>
      <c r="D300" t="s">
        <v>16</v>
      </c>
      <c r="E300" t="s">
        <v>94</v>
      </c>
      <c r="F300" t="s">
        <v>774</v>
      </c>
      <c r="G300" t="s">
        <v>62</v>
      </c>
      <c r="H300" t="s">
        <v>96</v>
      </c>
      <c r="I300" s="1" t="s">
        <v>233</v>
      </c>
      <c r="J300"/>
      <c r="K300"/>
      <c r="L300"/>
      <c r="M300"/>
      <c r="N300"/>
    </row>
    <row r="301" spans="1:14" ht="16" hidden="1">
      <c r="A301" t="s">
        <v>13</v>
      </c>
      <c r="B301" t="s">
        <v>775</v>
      </c>
      <c r="C301" t="s">
        <v>28</v>
      </c>
      <c r="D301" t="s">
        <v>29</v>
      </c>
      <c r="E301" t="s">
        <v>30</v>
      </c>
      <c r="F301" t="s">
        <v>776</v>
      </c>
      <c r="G301" t="s">
        <v>19</v>
      </c>
      <c r="H301" t="s">
        <v>145</v>
      </c>
      <c r="I301" s="1" t="s">
        <v>198</v>
      </c>
      <c r="J301"/>
      <c r="K301"/>
      <c r="L301"/>
      <c r="M301"/>
      <c r="N301"/>
    </row>
    <row r="302" spans="1:14" ht="64" hidden="1">
      <c r="A302" t="s">
        <v>13</v>
      </c>
      <c r="B302" t="s">
        <v>777</v>
      </c>
      <c r="C302" t="s">
        <v>43</v>
      </c>
      <c r="D302" t="s">
        <v>44</v>
      </c>
      <c r="E302" t="s">
        <v>54</v>
      </c>
      <c r="F302" t="s">
        <v>778</v>
      </c>
      <c r="G302" t="s">
        <v>62</v>
      </c>
      <c r="H302" t="s">
        <v>152</v>
      </c>
      <c r="I302" s="1" t="s">
        <v>779</v>
      </c>
      <c r="J302"/>
      <c r="K302"/>
      <c r="L302"/>
      <c r="M302"/>
      <c r="N302"/>
    </row>
    <row r="303" spans="1:14" ht="48" hidden="1">
      <c r="A303" t="s">
        <v>13</v>
      </c>
      <c r="B303" t="s">
        <v>780</v>
      </c>
      <c r="C303" t="s">
        <v>28</v>
      </c>
      <c r="D303" t="s">
        <v>29</v>
      </c>
      <c r="E303" t="s">
        <v>346</v>
      </c>
      <c r="F303" t="s">
        <v>781</v>
      </c>
      <c r="G303" t="s">
        <v>19</v>
      </c>
      <c r="H303" t="s">
        <v>290</v>
      </c>
      <c r="I303" s="1" t="s">
        <v>782</v>
      </c>
      <c r="J303"/>
      <c r="K303"/>
      <c r="L303"/>
      <c r="M303"/>
      <c r="N303"/>
    </row>
    <row r="304" spans="1:14" ht="16" hidden="1">
      <c r="A304" t="s">
        <v>13</v>
      </c>
      <c r="B304" t="s">
        <v>783</v>
      </c>
      <c r="C304" t="s">
        <v>43</v>
      </c>
      <c r="E304" t="s">
        <v>132</v>
      </c>
      <c r="F304" t="s">
        <v>784</v>
      </c>
      <c r="G304" t="s">
        <v>62</v>
      </c>
      <c r="H304" s="11" t="s">
        <v>90</v>
      </c>
      <c r="I304" s="2" t="s">
        <v>91</v>
      </c>
      <c r="J304" s="4" t="s">
        <v>39</v>
      </c>
      <c r="K304" s="2" t="s">
        <v>631</v>
      </c>
      <c r="L304" s="2" t="str">
        <f>VLOOKUP(B304,Sheet2!F:Z,12,0)</f>
        <v>重插智能网卡</v>
      </c>
      <c r="M304" s="2" t="s">
        <v>41</v>
      </c>
    </row>
    <row r="305" spans="1:14" ht="32" hidden="1">
      <c r="A305" t="s">
        <v>13</v>
      </c>
      <c r="B305" t="s">
        <v>386</v>
      </c>
      <c r="C305" t="s">
        <v>28</v>
      </c>
      <c r="D305" t="s">
        <v>29</v>
      </c>
      <c r="E305" t="s">
        <v>36</v>
      </c>
      <c r="F305" t="s">
        <v>785</v>
      </c>
      <c r="G305" t="s">
        <v>19</v>
      </c>
      <c r="H305" t="s">
        <v>141</v>
      </c>
      <c r="I305" s="1" t="s">
        <v>786</v>
      </c>
      <c r="J305"/>
      <c r="K305"/>
      <c r="L305"/>
      <c r="M305"/>
      <c r="N305"/>
    </row>
    <row r="306" spans="1:14" ht="48" hidden="1">
      <c r="A306" t="s">
        <v>13</v>
      </c>
      <c r="B306" t="s">
        <v>65</v>
      </c>
      <c r="C306" t="s">
        <v>43</v>
      </c>
      <c r="D306" t="s">
        <v>44</v>
      </c>
      <c r="E306" t="s">
        <v>54</v>
      </c>
      <c r="F306" t="s">
        <v>787</v>
      </c>
      <c r="G306" t="s">
        <v>32</v>
      </c>
      <c r="H306" t="s">
        <v>67</v>
      </c>
      <c r="I306" s="1" t="s">
        <v>68</v>
      </c>
      <c r="J306"/>
      <c r="K306"/>
      <c r="L306"/>
      <c r="M306"/>
      <c r="N306"/>
    </row>
    <row r="307" spans="1:14" ht="64" hidden="1">
      <c r="A307" t="s">
        <v>13</v>
      </c>
      <c r="B307" t="s">
        <v>788</v>
      </c>
      <c r="C307" t="s">
        <v>28</v>
      </c>
      <c r="D307" t="s">
        <v>29</v>
      </c>
      <c r="E307" t="s">
        <v>30</v>
      </c>
      <c r="F307" t="s">
        <v>789</v>
      </c>
      <c r="G307" t="s">
        <v>19</v>
      </c>
      <c r="H307" t="s">
        <v>290</v>
      </c>
      <c r="I307" s="1" t="s">
        <v>790</v>
      </c>
      <c r="J307"/>
      <c r="K307"/>
      <c r="L307"/>
      <c r="M307"/>
      <c r="N307"/>
    </row>
    <row r="308" spans="1:14" ht="64" hidden="1">
      <c r="A308" t="s">
        <v>13</v>
      </c>
      <c r="B308" t="s">
        <v>791</v>
      </c>
      <c r="C308" t="s">
        <v>28</v>
      </c>
      <c r="D308" t="s">
        <v>29</v>
      </c>
      <c r="E308" t="s">
        <v>30</v>
      </c>
      <c r="F308" t="s">
        <v>792</v>
      </c>
      <c r="G308" t="s">
        <v>19</v>
      </c>
      <c r="H308" t="s">
        <v>137</v>
      </c>
      <c r="I308" s="1" t="s">
        <v>793</v>
      </c>
      <c r="J308"/>
      <c r="K308"/>
      <c r="L308"/>
      <c r="M308"/>
      <c r="N308"/>
    </row>
    <row r="309" spans="1:14" ht="64" hidden="1">
      <c r="A309" t="s">
        <v>13</v>
      </c>
      <c r="B309" t="s">
        <v>794</v>
      </c>
      <c r="C309" t="s">
        <v>28</v>
      </c>
      <c r="D309" t="s">
        <v>29</v>
      </c>
      <c r="E309" t="s">
        <v>77</v>
      </c>
      <c r="F309" t="s">
        <v>795</v>
      </c>
      <c r="G309" t="s">
        <v>19</v>
      </c>
      <c r="H309" t="s">
        <v>145</v>
      </c>
      <c r="I309" s="1" t="s">
        <v>796</v>
      </c>
      <c r="J309"/>
      <c r="K309"/>
      <c r="L309"/>
      <c r="M309"/>
      <c r="N309"/>
    </row>
    <row r="310" spans="1:14" ht="16" hidden="1">
      <c r="A310" t="s">
        <v>13</v>
      </c>
      <c r="B310" t="s">
        <v>244</v>
      </c>
      <c r="C310" t="s">
        <v>43</v>
      </c>
      <c r="E310" t="s">
        <v>132</v>
      </c>
      <c r="F310" t="s">
        <v>797</v>
      </c>
      <c r="G310" t="s">
        <v>62</v>
      </c>
      <c r="H310" t="s">
        <v>90</v>
      </c>
      <c r="I310" s="1" t="s">
        <v>91</v>
      </c>
      <c r="J310"/>
      <c r="K310"/>
      <c r="L310"/>
      <c r="M310"/>
      <c r="N310"/>
    </row>
    <row r="311" spans="1:14" ht="64" hidden="1">
      <c r="A311" t="s">
        <v>13</v>
      </c>
      <c r="B311" t="s">
        <v>131</v>
      </c>
      <c r="C311" t="s">
        <v>28</v>
      </c>
      <c r="D311" t="s">
        <v>29</v>
      </c>
      <c r="E311" t="s">
        <v>132</v>
      </c>
      <c r="F311" t="s">
        <v>798</v>
      </c>
      <c r="G311" t="s">
        <v>32</v>
      </c>
      <c r="H311" t="s">
        <v>33</v>
      </c>
      <c r="I311" s="1" t="s">
        <v>38</v>
      </c>
      <c r="J311"/>
      <c r="K311"/>
      <c r="L311"/>
      <c r="M311"/>
      <c r="N311"/>
    </row>
    <row r="312" spans="1:14" ht="64" hidden="1">
      <c r="A312" t="s">
        <v>13</v>
      </c>
      <c r="B312" t="s">
        <v>392</v>
      </c>
      <c r="C312" t="s">
        <v>28</v>
      </c>
      <c r="D312" t="s">
        <v>29</v>
      </c>
      <c r="E312" t="s">
        <v>77</v>
      </c>
      <c r="F312" t="s">
        <v>799</v>
      </c>
      <c r="G312" t="s">
        <v>19</v>
      </c>
      <c r="H312" t="s">
        <v>137</v>
      </c>
      <c r="I312" s="1" t="s">
        <v>800</v>
      </c>
      <c r="J312"/>
      <c r="K312"/>
      <c r="L312"/>
      <c r="M312"/>
      <c r="N312"/>
    </row>
    <row r="313" spans="1:14" ht="64" hidden="1">
      <c r="A313" t="s">
        <v>13</v>
      </c>
      <c r="B313" t="s">
        <v>801</v>
      </c>
      <c r="C313" t="s">
        <v>28</v>
      </c>
      <c r="D313" t="s">
        <v>29</v>
      </c>
      <c r="E313" t="s">
        <v>77</v>
      </c>
      <c r="F313" t="s">
        <v>802</v>
      </c>
      <c r="G313" t="s">
        <v>19</v>
      </c>
      <c r="H313" t="s">
        <v>290</v>
      </c>
      <c r="I313" s="1" t="s">
        <v>803</v>
      </c>
      <c r="J313"/>
      <c r="K313"/>
      <c r="L313"/>
      <c r="M313"/>
      <c r="N313"/>
    </row>
    <row r="314" spans="1:14" ht="64" hidden="1">
      <c r="A314" t="s">
        <v>13</v>
      </c>
      <c r="B314" t="s">
        <v>557</v>
      </c>
      <c r="C314" t="s">
        <v>28</v>
      </c>
      <c r="D314" t="s">
        <v>29</v>
      </c>
      <c r="E314" t="s">
        <v>36</v>
      </c>
      <c r="F314" t="s">
        <v>804</v>
      </c>
      <c r="G314" t="s">
        <v>32</v>
      </c>
      <c r="H314" t="s">
        <v>33</v>
      </c>
      <c r="I314" s="1" t="s">
        <v>38</v>
      </c>
      <c r="J314"/>
      <c r="K314"/>
      <c r="L314"/>
      <c r="M314"/>
      <c r="N314"/>
    </row>
    <row r="315" spans="1:14" ht="64" hidden="1">
      <c r="A315" t="s">
        <v>13</v>
      </c>
      <c r="B315" t="s">
        <v>164</v>
      </c>
      <c r="C315" t="s">
        <v>28</v>
      </c>
      <c r="D315" t="s">
        <v>29</v>
      </c>
      <c r="E315" t="s">
        <v>36</v>
      </c>
      <c r="F315" t="s">
        <v>805</v>
      </c>
      <c r="G315" t="s">
        <v>32</v>
      </c>
      <c r="H315" t="s">
        <v>33</v>
      </c>
      <c r="I315" s="1" t="s">
        <v>38</v>
      </c>
      <c r="J315"/>
      <c r="K315"/>
      <c r="L315"/>
      <c r="M315"/>
      <c r="N315"/>
    </row>
    <row r="316" spans="1:14" ht="32" hidden="1">
      <c r="A316" t="s">
        <v>13</v>
      </c>
      <c r="B316" t="s">
        <v>579</v>
      </c>
      <c r="C316" t="s">
        <v>148</v>
      </c>
      <c r="D316" t="s">
        <v>149</v>
      </c>
      <c r="E316" t="s">
        <v>195</v>
      </c>
      <c r="F316" t="s">
        <v>806</v>
      </c>
      <c r="G316" t="s">
        <v>32</v>
      </c>
      <c r="H316" s="11" t="s">
        <v>152</v>
      </c>
      <c r="I316" s="2" t="s">
        <v>807</v>
      </c>
      <c r="J316" s="4" t="s">
        <v>39</v>
      </c>
      <c r="K316" s="2" t="s">
        <v>581</v>
      </c>
      <c r="L316" s="2" t="str">
        <f>VLOOKUP(B316,Sheet2!F:Z,12,0)</f>
        <v>更换硬盘数据线</v>
      </c>
      <c r="M316" s="2" t="s">
        <v>99</v>
      </c>
    </row>
    <row r="317" spans="1:14" ht="16" hidden="1">
      <c r="A317" t="s">
        <v>13</v>
      </c>
      <c r="B317" t="s">
        <v>248</v>
      </c>
      <c r="C317" t="s">
        <v>15</v>
      </c>
      <c r="D317" t="s">
        <v>16</v>
      </c>
      <c r="E317" t="s">
        <v>23</v>
      </c>
      <c r="F317" t="s">
        <v>808</v>
      </c>
      <c r="G317" t="s">
        <v>19</v>
      </c>
      <c r="H317" t="s">
        <v>809</v>
      </c>
      <c r="I317" s="1" t="s">
        <v>721</v>
      </c>
      <c r="J317"/>
      <c r="K317"/>
      <c r="L317"/>
      <c r="M317"/>
      <c r="N317"/>
    </row>
    <row r="318" spans="1:14" ht="64" hidden="1">
      <c r="A318" t="s">
        <v>13</v>
      </c>
      <c r="B318" t="s">
        <v>386</v>
      </c>
      <c r="C318" t="s">
        <v>28</v>
      </c>
      <c r="D318" t="s">
        <v>29</v>
      </c>
      <c r="E318" t="s">
        <v>36</v>
      </c>
      <c r="F318" t="s">
        <v>810</v>
      </c>
      <c r="G318" t="s">
        <v>19</v>
      </c>
      <c r="H318" t="s">
        <v>145</v>
      </c>
      <c r="I318" s="1" t="s">
        <v>811</v>
      </c>
      <c r="J318"/>
      <c r="K318"/>
      <c r="L318"/>
      <c r="M318"/>
      <c r="N318"/>
    </row>
    <row r="319" spans="1:14" ht="16" hidden="1">
      <c r="A319" t="s">
        <v>13</v>
      </c>
      <c r="B319" t="s">
        <v>238</v>
      </c>
      <c r="C319" t="s">
        <v>15</v>
      </c>
      <c r="D319" t="s">
        <v>16</v>
      </c>
      <c r="E319" t="s">
        <v>239</v>
      </c>
      <c r="F319" t="s">
        <v>812</v>
      </c>
      <c r="G319" t="s">
        <v>32</v>
      </c>
      <c r="H319" t="s">
        <v>305</v>
      </c>
      <c r="I319" s="1" t="s">
        <v>21</v>
      </c>
      <c r="J319"/>
      <c r="K319"/>
      <c r="L319"/>
      <c r="M319"/>
      <c r="N319"/>
    </row>
    <row r="320" spans="1:14" ht="16" hidden="1">
      <c r="A320" t="s">
        <v>13</v>
      </c>
      <c r="B320" t="s">
        <v>813</v>
      </c>
      <c r="C320" t="s">
        <v>43</v>
      </c>
      <c r="D320" t="s">
        <v>44</v>
      </c>
      <c r="E320" t="s">
        <v>365</v>
      </c>
      <c r="F320" t="s">
        <v>814</v>
      </c>
      <c r="G320" t="s">
        <v>19</v>
      </c>
      <c r="H320" t="s">
        <v>169</v>
      </c>
      <c r="I320" s="1" t="s">
        <v>471</v>
      </c>
      <c r="J320"/>
      <c r="K320"/>
      <c r="L320"/>
      <c r="M320"/>
      <c r="N320"/>
    </row>
    <row r="321" spans="1:14" ht="16" hidden="1">
      <c r="A321" t="s">
        <v>13</v>
      </c>
      <c r="B321" t="s">
        <v>815</v>
      </c>
      <c r="C321" t="s">
        <v>43</v>
      </c>
      <c r="E321" t="s">
        <v>265</v>
      </c>
      <c r="F321" t="s">
        <v>816</v>
      </c>
      <c r="G321" t="s">
        <v>32</v>
      </c>
      <c r="H321" t="s">
        <v>90</v>
      </c>
      <c r="I321" s="1" t="s">
        <v>91</v>
      </c>
      <c r="J321"/>
      <c r="K321"/>
      <c r="L321"/>
      <c r="M321"/>
      <c r="N321"/>
    </row>
    <row r="322" spans="1:14" ht="16" hidden="1">
      <c r="A322" t="s">
        <v>13</v>
      </c>
      <c r="B322" t="s">
        <v>121</v>
      </c>
      <c r="C322" t="s">
        <v>122</v>
      </c>
      <c r="D322" t="s">
        <v>123</v>
      </c>
      <c r="E322" t="s">
        <v>124</v>
      </c>
      <c r="F322" t="s">
        <v>817</v>
      </c>
      <c r="G322" t="s">
        <v>19</v>
      </c>
      <c r="H322" t="s">
        <v>51</v>
      </c>
      <c r="I322" s="1" t="s">
        <v>673</v>
      </c>
      <c r="J322"/>
      <c r="K322"/>
      <c r="L322"/>
      <c r="M322"/>
      <c r="N322"/>
    </row>
    <row r="323" spans="1:14" ht="16" hidden="1">
      <c r="A323" t="s">
        <v>13</v>
      </c>
      <c r="B323" t="s">
        <v>238</v>
      </c>
      <c r="C323" t="s">
        <v>15</v>
      </c>
      <c r="D323" t="s">
        <v>16</v>
      </c>
      <c r="E323" t="s">
        <v>239</v>
      </c>
      <c r="F323" t="s">
        <v>818</v>
      </c>
      <c r="G323" t="s">
        <v>19</v>
      </c>
      <c r="H323" s="11" t="s">
        <v>819</v>
      </c>
      <c r="I323" s="2" t="s">
        <v>721</v>
      </c>
      <c r="J323" s="4" t="s">
        <v>39</v>
      </c>
      <c r="K323" s="2" t="s">
        <v>243</v>
      </c>
      <c r="L323" s="2" t="str">
        <f>VLOOKUP(B323,Sheet2!F:Z,12,0)</f>
        <v>重插CPU</v>
      </c>
      <c r="M323" s="2" t="s">
        <v>41</v>
      </c>
    </row>
    <row r="324" spans="1:14" ht="32" hidden="1">
      <c r="A324" t="s">
        <v>13</v>
      </c>
      <c r="B324" t="s">
        <v>657</v>
      </c>
      <c r="C324" t="s">
        <v>148</v>
      </c>
      <c r="D324" t="s">
        <v>149</v>
      </c>
      <c r="E324" t="s">
        <v>150</v>
      </c>
      <c r="F324" t="s">
        <v>820</v>
      </c>
      <c r="G324" t="s">
        <v>32</v>
      </c>
      <c r="H324" t="s">
        <v>152</v>
      </c>
      <c r="I324" s="1" t="s">
        <v>153</v>
      </c>
      <c r="J324"/>
      <c r="K324"/>
      <c r="L324"/>
      <c r="M324"/>
      <c r="N324"/>
    </row>
    <row r="325" spans="1:14" ht="16" hidden="1">
      <c r="A325" t="s">
        <v>13</v>
      </c>
      <c r="B325" t="s">
        <v>821</v>
      </c>
      <c r="C325" t="s">
        <v>43</v>
      </c>
      <c r="D325" t="s">
        <v>44</v>
      </c>
      <c r="E325" t="s">
        <v>179</v>
      </c>
      <c r="F325" t="s">
        <v>822</v>
      </c>
      <c r="G325" t="s">
        <v>19</v>
      </c>
      <c r="H325" s="11" t="s">
        <v>152</v>
      </c>
      <c r="I325" s="2" t="s">
        <v>641</v>
      </c>
      <c r="J325" s="4" t="s">
        <v>39</v>
      </c>
      <c r="K325" s="2" t="s">
        <v>823</v>
      </c>
      <c r="L325" s="2" t="str">
        <f>VLOOKUP(B325,Sheet2!F:Z,12,0)</f>
        <v>更换硬盘</v>
      </c>
      <c r="M325" s="2" t="s">
        <v>99</v>
      </c>
    </row>
    <row r="326" spans="1:14" ht="48" hidden="1">
      <c r="A326" t="s">
        <v>13</v>
      </c>
      <c r="B326" t="s">
        <v>824</v>
      </c>
      <c r="C326" t="s">
        <v>148</v>
      </c>
      <c r="D326" t="s">
        <v>149</v>
      </c>
      <c r="E326" t="s">
        <v>195</v>
      </c>
      <c r="F326" t="s">
        <v>825</v>
      </c>
      <c r="G326" t="s">
        <v>19</v>
      </c>
      <c r="H326" t="s">
        <v>197</v>
      </c>
      <c r="I326" s="1" t="s">
        <v>826</v>
      </c>
      <c r="J326"/>
      <c r="K326"/>
      <c r="L326"/>
      <c r="M326"/>
      <c r="N326"/>
    </row>
    <row r="327" spans="1:14" ht="16" hidden="1">
      <c r="A327" t="s">
        <v>13</v>
      </c>
      <c r="B327" t="s">
        <v>116</v>
      </c>
      <c r="C327" t="s">
        <v>15</v>
      </c>
      <c r="D327" t="s">
        <v>16</v>
      </c>
      <c r="E327" t="s">
        <v>117</v>
      </c>
      <c r="F327" t="s">
        <v>827</v>
      </c>
      <c r="G327" t="s">
        <v>62</v>
      </c>
      <c r="H327" t="s">
        <v>828</v>
      </c>
      <c r="I327" s="1" t="s">
        <v>829</v>
      </c>
      <c r="J327"/>
      <c r="K327"/>
      <c r="L327"/>
      <c r="M327"/>
      <c r="N327"/>
    </row>
    <row r="328" spans="1:14" ht="96">
      <c r="A328" t="s">
        <v>13</v>
      </c>
      <c r="B328" t="s">
        <v>82</v>
      </c>
      <c r="C328" t="s">
        <v>28</v>
      </c>
      <c r="D328" t="s">
        <v>29</v>
      </c>
      <c r="E328" t="s">
        <v>83</v>
      </c>
      <c r="F328" t="s">
        <v>830</v>
      </c>
      <c r="G328" t="s">
        <v>19</v>
      </c>
      <c r="H328" s="11" t="s">
        <v>85</v>
      </c>
      <c r="I328" s="2" t="s">
        <v>1855</v>
      </c>
      <c r="J328" s="4" t="s">
        <v>39</v>
      </c>
      <c r="K328" s="2" t="s">
        <v>87</v>
      </c>
      <c r="L328" s="2" t="str">
        <f>VLOOKUP(B328,Sheet2!F:Z,12,0)</f>
        <v>重插数据线</v>
      </c>
      <c r="M328" s="2" t="s">
        <v>41</v>
      </c>
      <c r="N328" s="3">
        <v>0</v>
      </c>
    </row>
    <row r="329" spans="1:14" ht="96" hidden="1">
      <c r="A329" t="s">
        <v>13</v>
      </c>
      <c r="B329" t="s">
        <v>618</v>
      </c>
      <c r="C329" t="s">
        <v>28</v>
      </c>
      <c r="D329" t="s">
        <v>29</v>
      </c>
      <c r="E329" t="s">
        <v>36</v>
      </c>
      <c r="F329" t="s">
        <v>831</v>
      </c>
      <c r="G329" t="s">
        <v>32</v>
      </c>
      <c r="H329" s="11" t="s">
        <v>33</v>
      </c>
      <c r="I329" s="2" t="s">
        <v>38</v>
      </c>
      <c r="J329" s="4" t="s">
        <v>39</v>
      </c>
      <c r="K329" s="2" t="s">
        <v>621</v>
      </c>
      <c r="L329" s="2" t="str">
        <f>VLOOKUP(B329,Sheet2!F:Z,12,0)</f>
        <v>更换内存</v>
      </c>
      <c r="M329" s="2" t="s">
        <v>99</v>
      </c>
    </row>
    <row r="330" spans="1:14" ht="64" hidden="1">
      <c r="A330" t="s">
        <v>13</v>
      </c>
      <c r="B330" t="s">
        <v>164</v>
      </c>
      <c r="C330" t="s">
        <v>28</v>
      </c>
      <c r="D330" t="s">
        <v>29</v>
      </c>
      <c r="E330" t="s">
        <v>36</v>
      </c>
      <c r="F330" t="s">
        <v>832</v>
      </c>
      <c r="G330" t="s">
        <v>32</v>
      </c>
      <c r="H330" t="s">
        <v>33</v>
      </c>
      <c r="I330" s="1" t="s">
        <v>833</v>
      </c>
      <c r="J330"/>
      <c r="K330"/>
      <c r="L330"/>
      <c r="M330"/>
      <c r="N330"/>
    </row>
    <row r="331" spans="1:14" ht="64" hidden="1">
      <c r="A331" t="s">
        <v>13</v>
      </c>
      <c r="B331" t="s">
        <v>453</v>
      </c>
      <c r="C331" t="s">
        <v>43</v>
      </c>
      <c r="E331" t="s">
        <v>447</v>
      </c>
      <c r="F331" t="s">
        <v>834</v>
      </c>
      <c r="G331" t="s">
        <v>32</v>
      </c>
      <c r="H331" t="s">
        <v>90</v>
      </c>
      <c r="I331" s="1" t="s">
        <v>835</v>
      </c>
      <c r="J331"/>
      <c r="K331"/>
      <c r="L331"/>
      <c r="M331"/>
      <c r="N331"/>
    </row>
    <row r="332" spans="1:14" ht="16" hidden="1">
      <c r="A332" t="s">
        <v>13</v>
      </c>
      <c r="B332" t="s">
        <v>297</v>
      </c>
      <c r="C332" t="s">
        <v>43</v>
      </c>
      <c r="E332" t="s">
        <v>129</v>
      </c>
      <c r="F332" t="s">
        <v>836</v>
      </c>
      <c r="G332" t="s">
        <v>62</v>
      </c>
      <c r="H332" t="s">
        <v>90</v>
      </c>
      <c r="I332" s="1" t="s">
        <v>91</v>
      </c>
      <c r="J332"/>
      <c r="K332"/>
      <c r="L332"/>
      <c r="M332"/>
      <c r="N332"/>
    </row>
    <row r="333" spans="1:14" ht="64" hidden="1">
      <c r="A333" t="s">
        <v>13</v>
      </c>
      <c r="B333" t="s">
        <v>837</v>
      </c>
      <c r="C333" t="s">
        <v>28</v>
      </c>
      <c r="D333" t="s">
        <v>29</v>
      </c>
      <c r="E333" t="s">
        <v>132</v>
      </c>
      <c r="F333" t="s">
        <v>838</v>
      </c>
      <c r="G333" t="s">
        <v>19</v>
      </c>
      <c r="H333" t="s">
        <v>96</v>
      </c>
      <c r="I333" s="1" t="s">
        <v>839</v>
      </c>
      <c r="J333"/>
      <c r="K333"/>
      <c r="L333"/>
      <c r="M333"/>
      <c r="N333"/>
    </row>
    <row r="334" spans="1:14" ht="48" hidden="1">
      <c r="A334" t="s">
        <v>13</v>
      </c>
      <c r="B334" t="s">
        <v>837</v>
      </c>
      <c r="C334" t="s">
        <v>28</v>
      </c>
      <c r="D334" t="s">
        <v>29</v>
      </c>
      <c r="E334" t="s">
        <v>132</v>
      </c>
      <c r="F334" t="s">
        <v>840</v>
      </c>
      <c r="G334" t="s">
        <v>19</v>
      </c>
      <c r="H334" t="s">
        <v>137</v>
      </c>
      <c r="I334" s="1" t="s">
        <v>841</v>
      </c>
      <c r="J334"/>
      <c r="K334"/>
      <c r="L334"/>
      <c r="M334"/>
      <c r="N334"/>
    </row>
    <row r="335" spans="1:14" ht="64" hidden="1">
      <c r="A335" t="s">
        <v>13</v>
      </c>
      <c r="B335" t="s">
        <v>842</v>
      </c>
      <c r="C335" t="s">
        <v>28</v>
      </c>
      <c r="D335" t="s">
        <v>29</v>
      </c>
      <c r="E335" t="s">
        <v>36</v>
      </c>
      <c r="F335" t="s">
        <v>843</v>
      </c>
      <c r="G335" t="s">
        <v>32</v>
      </c>
      <c r="H335" t="s">
        <v>33</v>
      </c>
      <c r="I335" s="1" t="s">
        <v>844</v>
      </c>
      <c r="J335"/>
      <c r="K335"/>
      <c r="L335"/>
      <c r="M335"/>
      <c r="N335"/>
    </row>
    <row r="336" spans="1:14" ht="64" hidden="1">
      <c r="A336" t="s">
        <v>13</v>
      </c>
      <c r="B336" t="s">
        <v>845</v>
      </c>
      <c r="C336" t="s">
        <v>28</v>
      </c>
      <c r="D336" t="s">
        <v>29</v>
      </c>
      <c r="E336" t="s">
        <v>346</v>
      </c>
      <c r="F336" t="s">
        <v>846</v>
      </c>
      <c r="G336" t="s">
        <v>19</v>
      </c>
      <c r="H336" t="s">
        <v>290</v>
      </c>
      <c r="I336" s="1" t="s">
        <v>847</v>
      </c>
      <c r="J336"/>
      <c r="K336"/>
      <c r="L336"/>
      <c r="M336"/>
      <c r="N336"/>
    </row>
    <row r="337" spans="1:14" ht="64" hidden="1">
      <c r="A337" t="s">
        <v>13</v>
      </c>
      <c r="B337" t="s">
        <v>598</v>
      </c>
      <c r="C337" t="s">
        <v>43</v>
      </c>
      <c r="D337" t="s">
        <v>44</v>
      </c>
      <c r="E337" t="s">
        <v>45</v>
      </c>
      <c r="F337" t="s">
        <v>848</v>
      </c>
      <c r="G337" t="s">
        <v>62</v>
      </c>
      <c r="H337" t="s">
        <v>152</v>
      </c>
      <c r="I337" s="1" t="s">
        <v>600</v>
      </c>
      <c r="J337"/>
      <c r="K337"/>
      <c r="L337"/>
      <c r="M337"/>
      <c r="N337"/>
    </row>
    <row r="338" spans="1:14" ht="96" hidden="1">
      <c r="A338" t="s">
        <v>13</v>
      </c>
      <c r="B338" t="s">
        <v>82</v>
      </c>
      <c r="C338" t="s">
        <v>28</v>
      </c>
      <c r="D338" t="s">
        <v>29</v>
      </c>
      <c r="E338" t="s">
        <v>83</v>
      </c>
      <c r="F338" t="s">
        <v>849</v>
      </c>
      <c r="G338" t="s">
        <v>19</v>
      </c>
      <c r="H338" s="11" t="s">
        <v>85</v>
      </c>
      <c r="I338" s="2" t="s">
        <v>1856</v>
      </c>
      <c r="J338" s="4" t="s">
        <v>39</v>
      </c>
      <c r="K338" s="2" t="s">
        <v>87</v>
      </c>
      <c r="L338" s="2" t="str">
        <f>VLOOKUP(B338,Sheet2!F:Z,12,0)</f>
        <v>重插数据线</v>
      </c>
      <c r="M338" s="2" t="s">
        <v>41</v>
      </c>
    </row>
    <row r="339" spans="1:14" ht="32" hidden="1">
      <c r="A339" t="s">
        <v>13</v>
      </c>
      <c r="B339" t="s">
        <v>850</v>
      </c>
      <c r="C339" t="s">
        <v>28</v>
      </c>
      <c r="D339" t="s">
        <v>29</v>
      </c>
      <c r="E339" t="s">
        <v>77</v>
      </c>
      <c r="F339" t="s">
        <v>851</v>
      </c>
      <c r="G339" t="s">
        <v>32</v>
      </c>
      <c r="H339" t="s">
        <v>852</v>
      </c>
      <c r="I339" s="1" t="s">
        <v>853</v>
      </c>
      <c r="J339"/>
      <c r="K339"/>
      <c r="L339"/>
      <c r="M339"/>
      <c r="N339"/>
    </row>
    <row r="340" spans="1:14" ht="96">
      <c r="A340" t="s">
        <v>13</v>
      </c>
      <c r="B340" t="s">
        <v>59</v>
      </c>
      <c r="C340" t="s">
        <v>28</v>
      </c>
      <c r="D340" t="s">
        <v>29</v>
      </c>
      <c r="E340" t="s">
        <v>60</v>
      </c>
      <c r="F340" t="s">
        <v>854</v>
      </c>
      <c r="G340" t="s">
        <v>19</v>
      </c>
      <c r="H340" s="11" t="s">
        <v>63</v>
      </c>
      <c r="I340" s="2" t="s">
        <v>855</v>
      </c>
      <c r="J340" s="4" t="s">
        <v>39</v>
      </c>
      <c r="K340" s="2" t="s">
        <v>374</v>
      </c>
      <c r="L340" s="2" t="str">
        <f>VLOOKUP(B340,Sheet2!F:Z,12,0)</f>
        <v>更换CPU</v>
      </c>
      <c r="M340" s="2" t="s">
        <v>41</v>
      </c>
      <c r="N340" s="3">
        <v>0</v>
      </c>
    </row>
    <row r="341" spans="1:14" ht="48" hidden="1">
      <c r="A341" t="s">
        <v>13</v>
      </c>
      <c r="B341" t="s">
        <v>143</v>
      </c>
      <c r="C341" t="s">
        <v>28</v>
      </c>
      <c r="D341" t="s">
        <v>29</v>
      </c>
      <c r="E341" t="s">
        <v>70</v>
      </c>
      <c r="F341" t="s">
        <v>856</v>
      </c>
      <c r="G341" t="s">
        <v>32</v>
      </c>
      <c r="H341" t="s">
        <v>33</v>
      </c>
      <c r="I341" s="1" t="s">
        <v>857</v>
      </c>
      <c r="J341"/>
      <c r="K341"/>
      <c r="L341"/>
      <c r="M341"/>
      <c r="N341"/>
    </row>
    <row r="342" spans="1:14" ht="96">
      <c r="A342" t="s">
        <v>13</v>
      </c>
      <c r="B342" t="s">
        <v>221</v>
      </c>
      <c r="C342" t="s">
        <v>222</v>
      </c>
      <c r="D342" t="s">
        <v>223</v>
      </c>
      <c r="E342" t="s">
        <v>224</v>
      </c>
      <c r="F342" t="s">
        <v>858</v>
      </c>
      <c r="G342" t="s">
        <v>32</v>
      </c>
      <c r="H342" s="11" t="s">
        <v>67</v>
      </c>
      <c r="I342" s="2" t="s">
        <v>1840</v>
      </c>
      <c r="J342" s="4" t="s">
        <v>39</v>
      </c>
      <c r="K342" s="2" t="s">
        <v>227</v>
      </c>
      <c r="L342" s="2" t="str">
        <f>VLOOKUP(B342,Sheet2!F:Z,12,0)</f>
        <v>重插数据线</v>
      </c>
      <c r="M342" s="2" t="s">
        <v>41</v>
      </c>
      <c r="N342" s="3">
        <v>0</v>
      </c>
    </row>
    <row r="343" spans="1:14" ht="64" hidden="1">
      <c r="A343" t="s">
        <v>13</v>
      </c>
      <c r="B343" t="s">
        <v>216</v>
      </c>
      <c r="C343" t="s">
        <v>28</v>
      </c>
      <c r="D343" t="s">
        <v>29</v>
      </c>
      <c r="E343" t="s">
        <v>129</v>
      </c>
      <c r="F343" t="s">
        <v>859</v>
      </c>
      <c r="G343" t="s">
        <v>32</v>
      </c>
      <c r="H343" t="s">
        <v>33</v>
      </c>
      <c r="I343" s="1" t="s">
        <v>38</v>
      </c>
      <c r="J343"/>
      <c r="K343"/>
      <c r="L343"/>
      <c r="M343"/>
      <c r="N343"/>
    </row>
    <row r="344" spans="1:14" ht="16" hidden="1">
      <c r="A344" t="s">
        <v>13</v>
      </c>
      <c r="B344" t="s">
        <v>860</v>
      </c>
      <c r="C344" t="s">
        <v>15</v>
      </c>
      <c r="D344" t="s">
        <v>16</v>
      </c>
      <c r="E344" t="s">
        <v>23</v>
      </c>
      <c r="F344" t="s">
        <v>861</v>
      </c>
      <c r="G344" t="s">
        <v>19</v>
      </c>
      <c r="H344" t="s">
        <v>25</v>
      </c>
      <c r="I344" s="1" t="s">
        <v>26</v>
      </c>
      <c r="J344"/>
      <c r="K344"/>
      <c r="L344"/>
      <c r="M344"/>
      <c r="N344"/>
    </row>
    <row r="345" spans="1:14" ht="48" hidden="1">
      <c r="A345" t="s">
        <v>13</v>
      </c>
      <c r="B345" t="s">
        <v>76</v>
      </c>
      <c r="C345" t="s">
        <v>28</v>
      </c>
      <c r="D345" t="s">
        <v>29</v>
      </c>
      <c r="E345" t="s">
        <v>77</v>
      </c>
      <c r="F345" t="s">
        <v>862</v>
      </c>
      <c r="G345" t="s">
        <v>32</v>
      </c>
      <c r="H345" t="s">
        <v>33</v>
      </c>
      <c r="I345" s="1" t="s">
        <v>863</v>
      </c>
      <c r="J345"/>
      <c r="K345"/>
      <c r="L345"/>
      <c r="M345"/>
      <c r="N345"/>
    </row>
    <row r="346" spans="1:14" ht="64" hidden="1">
      <c r="A346" t="s">
        <v>13</v>
      </c>
      <c r="B346" t="s">
        <v>850</v>
      </c>
      <c r="C346" t="s">
        <v>28</v>
      </c>
      <c r="D346" t="s">
        <v>29</v>
      </c>
      <c r="E346" t="s">
        <v>77</v>
      </c>
      <c r="F346" t="s">
        <v>864</v>
      </c>
      <c r="G346" t="s">
        <v>32</v>
      </c>
      <c r="H346" t="s">
        <v>33</v>
      </c>
      <c r="I346" s="1" t="s">
        <v>38</v>
      </c>
      <c r="J346"/>
      <c r="K346"/>
      <c r="L346"/>
      <c r="M346"/>
      <c r="N346"/>
    </row>
    <row r="347" spans="1:14" ht="16" hidden="1">
      <c r="A347" t="s">
        <v>13</v>
      </c>
      <c r="B347" t="s">
        <v>865</v>
      </c>
      <c r="C347" t="s">
        <v>15</v>
      </c>
      <c r="D347" t="s">
        <v>16</v>
      </c>
      <c r="E347" t="s">
        <v>23</v>
      </c>
      <c r="F347" t="s">
        <v>866</v>
      </c>
      <c r="G347" t="s">
        <v>19</v>
      </c>
      <c r="H347" t="s">
        <v>355</v>
      </c>
      <c r="I347" s="1" t="s">
        <v>21</v>
      </c>
      <c r="J347"/>
      <c r="K347"/>
      <c r="L347"/>
      <c r="M347"/>
      <c r="N347"/>
    </row>
    <row r="348" spans="1:14" ht="80">
      <c r="A348" t="s">
        <v>13</v>
      </c>
      <c r="B348" t="s">
        <v>73</v>
      </c>
      <c r="C348" t="s">
        <v>28</v>
      </c>
      <c r="D348" t="s">
        <v>29</v>
      </c>
      <c r="E348" t="s">
        <v>70</v>
      </c>
      <c r="F348" t="s">
        <v>867</v>
      </c>
      <c r="G348" t="s">
        <v>32</v>
      </c>
      <c r="H348" s="11" t="s">
        <v>67</v>
      </c>
      <c r="I348" s="2" t="s">
        <v>1847</v>
      </c>
      <c r="J348" s="4" t="s">
        <v>39</v>
      </c>
      <c r="K348" s="2" t="s">
        <v>435</v>
      </c>
      <c r="L348" s="2" t="str">
        <f>VLOOKUP(B348,Sheet2!F:Z,12,0)</f>
        <v>更换背板</v>
      </c>
      <c r="M348" s="2" t="s">
        <v>99</v>
      </c>
      <c r="N348" s="3">
        <v>0</v>
      </c>
    </row>
    <row r="349" spans="1:14" ht="64" hidden="1">
      <c r="A349" t="s">
        <v>13</v>
      </c>
      <c r="B349" t="s">
        <v>868</v>
      </c>
      <c r="C349" t="s">
        <v>28</v>
      </c>
      <c r="D349" t="s">
        <v>29</v>
      </c>
      <c r="E349" t="s">
        <v>265</v>
      </c>
      <c r="F349" t="s">
        <v>869</v>
      </c>
      <c r="G349" t="s">
        <v>19</v>
      </c>
      <c r="H349" t="s">
        <v>290</v>
      </c>
      <c r="I349" s="1" t="s">
        <v>870</v>
      </c>
      <c r="J349"/>
      <c r="K349"/>
      <c r="L349"/>
      <c r="M349"/>
      <c r="N349"/>
    </row>
    <row r="350" spans="1:14" ht="80">
      <c r="A350" t="s">
        <v>13</v>
      </c>
      <c r="B350" t="s">
        <v>73</v>
      </c>
      <c r="C350" t="s">
        <v>28</v>
      </c>
      <c r="D350" t="s">
        <v>29</v>
      </c>
      <c r="E350" t="s">
        <v>70</v>
      </c>
      <c r="F350" t="s">
        <v>871</v>
      </c>
      <c r="G350" t="s">
        <v>32</v>
      </c>
      <c r="H350" s="11" t="s">
        <v>67</v>
      </c>
      <c r="I350" s="2" t="s">
        <v>872</v>
      </c>
      <c r="J350" s="4" t="s">
        <v>39</v>
      </c>
      <c r="K350" s="2" t="s">
        <v>435</v>
      </c>
      <c r="L350" s="2" t="str">
        <f>VLOOKUP(B350,Sheet2!F:Z,12,0)</f>
        <v>更换背板</v>
      </c>
      <c r="M350" s="2" t="s">
        <v>99</v>
      </c>
      <c r="N350" s="3">
        <v>0</v>
      </c>
    </row>
    <row r="351" spans="1:14" ht="64" hidden="1">
      <c r="A351" t="s">
        <v>13</v>
      </c>
      <c r="B351" t="s">
        <v>873</v>
      </c>
      <c r="C351" t="s">
        <v>43</v>
      </c>
      <c r="E351" t="s">
        <v>447</v>
      </c>
      <c r="F351" t="s">
        <v>874</v>
      </c>
      <c r="G351" t="s">
        <v>62</v>
      </c>
      <c r="H351" t="s">
        <v>90</v>
      </c>
      <c r="I351" s="1" t="s">
        <v>875</v>
      </c>
      <c r="J351"/>
      <c r="K351"/>
      <c r="L351"/>
      <c r="M351"/>
      <c r="N351"/>
    </row>
    <row r="352" spans="1:14" ht="64" hidden="1">
      <c r="A352" t="s">
        <v>13</v>
      </c>
      <c r="B352" t="s">
        <v>873</v>
      </c>
      <c r="C352" t="s">
        <v>43</v>
      </c>
      <c r="E352" t="s">
        <v>447</v>
      </c>
      <c r="F352" t="s">
        <v>876</v>
      </c>
      <c r="G352" t="s">
        <v>62</v>
      </c>
      <c r="H352" t="s">
        <v>90</v>
      </c>
      <c r="I352" s="1" t="s">
        <v>877</v>
      </c>
      <c r="J352"/>
      <c r="K352"/>
      <c r="L352"/>
      <c r="M352"/>
      <c r="N352"/>
    </row>
    <row r="353" spans="1:14" ht="16" hidden="1">
      <c r="A353" t="s">
        <v>13</v>
      </c>
      <c r="B353" t="s">
        <v>326</v>
      </c>
      <c r="C353" t="s">
        <v>28</v>
      </c>
      <c r="D353" t="s">
        <v>29</v>
      </c>
      <c r="E353" t="s">
        <v>132</v>
      </c>
      <c r="F353" t="s">
        <v>878</v>
      </c>
      <c r="G353" t="s">
        <v>19</v>
      </c>
      <c r="H353" t="s">
        <v>290</v>
      </c>
      <c r="I353" s="1" t="s">
        <v>506</v>
      </c>
      <c r="J353"/>
      <c r="K353"/>
      <c r="L353"/>
      <c r="M353"/>
      <c r="N353"/>
    </row>
    <row r="354" spans="1:14" ht="80">
      <c r="A354" t="s">
        <v>13</v>
      </c>
      <c r="B354" t="s">
        <v>73</v>
      </c>
      <c r="C354" t="s">
        <v>28</v>
      </c>
      <c r="D354" t="s">
        <v>29</v>
      </c>
      <c r="E354" t="s">
        <v>70</v>
      </c>
      <c r="F354" t="s">
        <v>879</v>
      </c>
      <c r="G354" t="s">
        <v>32</v>
      </c>
      <c r="H354" s="11" t="s">
        <v>67</v>
      </c>
      <c r="I354" s="2" t="s">
        <v>434</v>
      </c>
      <c r="J354" s="4" t="s">
        <v>39</v>
      </c>
      <c r="K354" s="2" t="s">
        <v>435</v>
      </c>
      <c r="L354" s="2" t="str">
        <f>VLOOKUP(B354,Sheet2!F:Z,12,0)</f>
        <v>更换背板</v>
      </c>
      <c r="M354" s="2" t="s">
        <v>99</v>
      </c>
      <c r="N354" s="3">
        <v>0</v>
      </c>
    </row>
    <row r="355" spans="1:14" ht="64" hidden="1">
      <c r="A355" t="s">
        <v>13</v>
      </c>
      <c r="B355" t="s">
        <v>216</v>
      </c>
      <c r="C355" t="s">
        <v>28</v>
      </c>
      <c r="D355" t="s">
        <v>29</v>
      </c>
      <c r="E355" t="s">
        <v>129</v>
      </c>
      <c r="F355" t="s">
        <v>880</v>
      </c>
      <c r="G355" t="s">
        <v>32</v>
      </c>
      <c r="H355" t="s">
        <v>33</v>
      </c>
      <c r="I355" s="1" t="s">
        <v>38</v>
      </c>
      <c r="J355"/>
      <c r="K355"/>
      <c r="L355"/>
      <c r="M355"/>
      <c r="N355"/>
    </row>
    <row r="356" spans="1:14" ht="48" hidden="1">
      <c r="A356" t="s">
        <v>13</v>
      </c>
      <c r="B356" t="s">
        <v>228</v>
      </c>
      <c r="C356" t="s">
        <v>28</v>
      </c>
      <c r="D356" t="s">
        <v>29</v>
      </c>
      <c r="E356" t="s">
        <v>129</v>
      </c>
      <c r="F356" t="s">
        <v>881</v>
      </c>
      <c r="G356" t="s">
        <v>32</v>
      </c>
      <c r="H356" t="s">
        <v>33</v>
      </c>
      <c r="I356" s="1" t="s">
        <v>882</v>
      </c>
      <c r="J356"/>
      <c r="K356"/>
      <c r="L356"/>
      <c r="M356"/>
      <c r="N356"/>
    </row>
    <row r="357" spans="1:14" ht="16" hidden="1">
      <c r="A357" t="s">
        <v>13</v>
      </c>
      <c r="B357" t="s">
        <v>453</v>
      </c>
      <c r="C357" t="s">
        <v>28</v>
      </c>
      <c r="D357" t="s">
        <v>29</v>
      </c>
      <c r="E357" t="s">
        <v>447</v>
      </c>
      <c r="F357" t="s">
        <v>883</v>
      </c>
      <c r="G357" t="s">
        <v>32</v>
      </c>
      <c r="H357" t="s">
        <v>33</v>
      </c>
      <c r="I357" s="1" t="s">
        <v>531</v>
      </c>
      <c r="J357"/>
      <c r="K357"/>
      <c r="L357"/>
      <c r="M357"/>
      <c r="N357"/>
    </row>
    <row r="358" spans="1:14" ht="16" hidden="1">
      <c r="A358" t="s">
        <v>13</v>
      </c>
      <c r="B358" t="s">
        <v>884</v>
      </c>
      <c r="C358" t="s">
        <v>43</v>
      </c>
      <c r="E358" t="s">
        <v>77</v>
      </c>
      <c r="F358" t="s">
        <v>885</v>
      </c>
      <c r="G358" t="s">
        <v>62</v>
      </c>
      <c r="H358" t="s">
        <v>90</v>
      </c>
      <c r="I358" s="1" t="s">
        <v>91</v>
      </c>
      <c r="J358"/>
      <c r="K358"/>
      <c r="L358"/>
      <c r="M358"/>
      <c r="N358"/>
    </row>
    <row r="359" spans="1:14" ht="16" hidden="1">
      <c r="A359" t="s">
        <v>13</v>
      </c>
      <c r="B359" t="s">
        <v>777</v>
      </c>
      <c r="C359" t="s">
        <v>43</v>
      </c>
      <c r="D359" t="s">
        <v>44</v>
      </c>
      <c r="E359" t="s">
        <v>54</v>
      </c>
      <c r="F359" t="s">
        <v>886</v>
      </c>
      <c r="G359" t="s">
        <v>19</v>
      </c>
      <c r="H359" s="11" t="s">
        <v>169</v>
      </c>
      <c r="I359" s="2" t="s">
        <v>887</v>
      </c>
      <c r="J359" s="4" t="s">
        <v>39</v>
      </c>
      <c r="K359" s="2" t="s">
        <v>888</v>
      </c>
      <c r="L359" s="2" t="str">
        <f>VLOOKUP(B359,Sheet2!F:Z,12,0)</f>
        <v>更换硬盘</v>
      </c>
      <c r="M359" s="2" t="s">
        <v>99</v>
      </c>
    </row>
    <row r="360" spans="1:14" ht="16" hidden="1">
      <c r="A360" t="s">
        <v>13</v>
      </c>
      <c r="B360" t="s">
        <v>234</v>
      </c>
      <c r="C360" t="s">
        <v>43</v>
      </c>
      <c r="D360" t="s">
        <v>44</v>
      </c>
      <c r="E360" t="s">
        <v>45</v>
      </c>
      <c r="F360" t="s">
        <v>889</v>
      </c>
      <c r="G360" t="s">
        <v>19</v>
      </c>
      <c r="H360" s="11" t="s">
        <v>169</v>
      </c>
      <c r="I360" s="2" t="s">
        <v>236</v>
      </c>
      <c r="J360" s="4" t="s">
        <v>39</v>
      </c>
      <c r="K360" s="2" t="s">
        <v>237</v>
      </c>
      <c r="L360" s="2" t="str">
        <f>VLOOKUP(B360,Sheet2!F:Z,12,0)</f>
        <v>更换硬盘</v>
      </c>
      <c r="M360" s="2" t="s">
        <v>41</v>
      </c>
    </row>
    <row r="361" spans="1:14" ht="16" hidden="1">
      <c r="A361" t="s">
        <v>13</v>
      </c>
      <c r="B361" t="s">
        <v>777</v>
      </c>
      <c r="C361" t="s">
        <v>43</v>
      </c>
      <c r="D361" t="s">
        <v>44</v>
      </c>
      <c r="E361" t="s">
        <v>54</v>
      </c>
      <c r="F361" t="s">
        <v>890</v>
      </c>
      <c r="G361" t="s">
        <v>19</v>
      </c>
      <c r="H361" s="11" t="s">
        <v>152</v>
      </c>
      <c r="I361" s="2" t="s">
        <v>641</v>
      </c>
      <c r="J361" s="4" t="s">
        <v>39</v>
      </c>
      <c r="K361" s="2" t="s">
        <v>888</v>
      </c>
      <c r="L361" s="2" t="str">
        <f>VLOOKUP(B361,Sheet2!F:Z,12,0)</f>
        <v>更换硬盘</v>
      </c>
      <c r="M361" s="2" t="s">
        <v>99</v>
      </c>
    </row>
    <row r="362" spans="1:14" ht="16" hidden="1">
      <c r="A362" t="s">
        <v>13</v>
      </c>
      <c r="B362" t="s">
        <v>891</v>
      </c>
      <c r="C362" t="s">
        <v>15</v>
      </c>
      <c r="D362" t="s">
        <v>16</v>
      </c>
      <c r="E362" t="s">
        <v>23</v>
      </c>
      <c r="F362" t="s">
        <v>892</v>
      </c>
      <c r="G362" t="s">
        <v>113</v>
      </c>
      <c r="H362" t="s">
        <v>114</v>
      </c>
      <c r="I362" s="1" t="s">
        <v>893</v>
      </c>
      <c r="J362"/>
      <c r="K362"/>
      <c r="L362"/>
      <c r="M362"/>
      <c r="N362"/>
    </row>
    <row r="363" spans="1:14" ht="16" hidden="1">
      <c r="A363" t="s">
        <v>13</v>
      </c>
      <c r="B363" t="s">
        <v>894</v>
      </c>
      <c r="C363" t="s">
        <v>43</v>
      </c>
      <c r="D363" t="s">
        <v>44</v>
      </c>
      <c r="E363" t="s">
        <v>54</v>
      </c>
      <c r="F363" t="s">
        <v>895</v>
      </c>
      <c r="G363" t="s">
        <v>19</v>
      </c>
      <c r="H363" t="s">
        <v>169</v>
      </c>
      <c r="I363" s="1" t="s">
        <v>471</v>
      </c>
      <c r="J363"/>
      <c r="K363"/>
      <c r="L363"/>
      <c r="M363"/>
      <c r="N363"/>
    </row>
    <row r="364" spans="1:14" ht="16" hidden="1">
      <c r="A364" t="s">
        <v>13</v>
      </c>
      <c r="B364" t="s">
        <v>111</v>
      </c>
      <c r="C364" t="s">
        <v>15</v>
      </c>
      <c r="D364" t="s">
        <v>16</v>
      </c>
      <c r="E364" t="s">
        <v>23</v>
      </c>
      <c r="F364" t="s">
        <v>896</v>
      </c>
      <c r="G364" t="s">
        <v>113</v>
      </c>
      <c r="H364" t="s">
        <v>114</v>
      </c>
      <c r="I364" s="1" t="s">
        <v>893</v>
      </c>
      <c r="J364"/>
      <c r="K364"/>
      <c r="L364"/>
      <c r="M364"/>
      <c r="N364"/>
    </row>
    <row r="365" spans="1:14" ht="16" hidden="1">
      <c r="A365" t="s">
        <v>13</v>
      </c>
      <c r="B365" t="s">
        <v>230</v>
      </c>
      <c r="C365" t="s">
        <v>15</v>
      </c>
      <c r="D365" t="s">
        <v>16</v>
      </c>
      <c r="E365" t="s">
        <v>23</v>
      </c>
      <c r="F365" t="s">
        <v>897</v>
      </c>
      <c r="G365" t="s">
        <v>113</v>
      </c>
      <c r="H365" t="s">
        <v>232</v>
      </c>
      <c r="I365" s="1" t="s">
        <v>233</v>
      </c>
      <c r="J365"/>
      <c r="K365"/>
      <c r="L365"/>
      <c r="M365"/>
      <c r="N365"/>
    </row>
    <row r="366" spans="1:14" ht="16" hidden="1">
      <c r="A366" t="s">
        <v>13</v>
      </c>
      <c r="B366" t="s">
        <v>884</v>
      </c>
      <c r="C366" t="s">
        <v>43</v>
      </c>
      <c r="E366" t="s">
        <v>77</v>
      </c>
      <c r="F366" t="s">
        <v>898</v>
      </c>
      <c r="G366" t="s">
        <v>32</v>
      </c>
      <c r="H366" s="11" t="s">
        <v>90</v>
      </c>
      <c r="I366" s="2" t="s">
        <v>91</v>
      </c>
      <c r="J366" s="4" t="s">
        <v>39</v>
      </c>
      <c r="K366" s="2" t="s">
        <v>631</v>
      </c>
      <c r="L366" s="2" t="str">
        <f>VLOOKUP(B366,Sheet2!F:Z,12,0)</f>
        <v>重插网卡</v>
      </c>
      <c r="M366" s="2" t="s">
        <v>41</v>
      </c>
    </row>
    <row r="367" spans="1:14" ht="16" hidden="1">
      <c r="A367" t="s">
        <v>13</v>
      </c>
      <c r="B367" t="s">
        <v>884</v>
      </c>
      <c r="C367" t="s">
        <v>43</v>
      </c>
      <c r="E367" t="s">
        <v>77</v>
      </c>
      <c r="F367" t="s">
        <v>899</v>
      </c>
      <c r="G367" t="s">
        <v>32</v>
      </c>
      <c r="H367" s="11" t="s">
        <v>90</v>
      </c>
      <c r="I367" s="2" t="s">
        <v>91</v>
      </c>
      <c r="J367" s="4" t="s">
        <v>39</v>
      </c>
      <c r="K367" s="2" t="s">
        <v>631</v>
      </c>
      <c r="L367" s="2" t="str">
        <f>VLOOKUP(B367,Sheet2!F:Z,12,0)</f>
        <v>重插网卡</v>
      </c>
      <c r="M367" s="2" t="s">
        <v>41</v>
      </c>
    </row>
    <row r="368" spans="1:14" ht="16" hidden="1">
      <c r="A368" t="s">
        <v>13</v>
      </c>
      <c r="B368" t="s">
        <v>453</v>
      </c>
      <c r="C368" t="s">
        <v>43</v>
      </c>
      <c r="E368" t="s">
        <v>447</v>
      </c>
      <c r="F368" t="s">
        <v>900</v>
      </c>
      <c r="G368" t="s">
        <v>62</v>
      </c>
      <c r="H368" t="s">
        <v>90</v>
      </c>
      <c r="I368" s="1" t="s">
        <v>91</v>
      </c>
      <c r="J368"/>
      <c r="K368"/>
      <c r="L368"/>
      <c r="M368"/>
      <c r="N368"/>
    </row>
    <row r="369" spans="1:14" ht="16" hidden="1">
      <c r="A369" t="s">
        <v>13</v>
      </c>
      <c r="B369" t="s">
        <v>901</v>
      </c>
      <c r="C369" t="s">
        <v>43</v>
      </c>
      <c r="E369" t="s">
        <v>447</v>
      </c>
      <c r="F369" t="s">
        <v>902</v>
      </c>
      <c r="G369" t="s">
        <v>62</v>
      </c>
      <c r="H369" t="s">
        <v>90</v>
      </c>
      <c r="I369" s="1" t="s">
        <v>91</v>
      </c>
      <c r="J369"/>
      <c r="K369"/>
      <c r="L369"/>
      <c r="M369"/>
      <c r="N369"/>
    </row>
    <row r="370" spans="1:14" ht="32" hidden="1">
      <c r="A370" t="s">
        <v>13</v>
      </c>
      <c r="B370" t="s">
        <v>516</v>
      </c>
      <c r="C370" t="s">
        <v>122</v>
      </c>
      <c r="D370" t="s">
        <v>123</v>
      </c>
      <c r="E370" t="s">
        <v>124</v>
      </c>
      <c r="F370" t="s">
        <v>903</v>
      </c>
      <c r="G370" t="s">
        <v>19</v>
      </c>
      <c r="H370" s="11" t="s">
        <v>628</v>
      </c>
      <c r="I370" s="2" t="s">
        <v>1857</v>
      </c>
      <c r="J370" s="4" t="s">
        <v>39</v>
      </c>
      <c r="K370" s="2" t="s">
        <v>905</v>
      </c>
      <c r="L370" s="2" t="str">
        <f>VLOOKUP(B370,Sheet2!F:Z,12,0)</f>
        <v>重插数据线</v>
      </c>
      <c r="M370" s="2" t="s">
        <v>41</v>
      </c>
    </row>
    <row r="371" spans="1:14" ht="16" hidden="1">
      <c r="A371" t="s">
        <v>13</v>
      </c>
      <c r="B371" t="s">
        <v>821</v>
      </c>
      <c r="C371" t="s">
        <v>43</v>
      </c>
      <c r="D371" t="s">
        <v>44</v>
      </c>
      <c r="E371" t="s">
        <v>179</v>
      </c>
      <c r="F371" t="s">
        <v>906</v>
      </c>
      <c r="G371" t="s">
        <v>19</v>
      </c>
      <c r="H371" s="11" t="s">
        <v>169</v>
      </c>
      <c r="I371" s="2" t="s">
        <v>887</v>
      </c>
      <c r="J371" s="4" t="s">
        <v>39</v>
      </c>
      <c r="K371" s="2" t="s">
        <v>823</v>
      </c>
      <c r="L371" s="2" t="str">
        <f>VLOOKUP(B371,Sheet2!F:Z,12,0)</f>
        <v>更换硬盘</v>
      </c>
      <c r="M371" s="2" t="s">
        <v>99</v>
      </c>
    </row>
    <row r="372" spans="1:14" ht="16" hidden="1">
      <c r="A372" t="s">
        <v>13</v>
      </c>
      <c r="B372" t="s">
        <v>907</v>
      </c>
      <c r="C372" t="s">
        <v>148</v>
      </c>
      <c r="D372" t="s">
        <v>149</v>
      </c>
      <c r="E372" t="s">
        <v>195</v>
      </c>
      <c r="F372" t="s">
        <v>908</v>
      </c>
      <c r="G372" t="s">
        <v>19</v>
      </c>
      <c r="H372" t="s">
        <v>197</v>
      </c>
      <c r="I372" s="1" t="s">
        <v>198</v>
      </c>
      <c r="J372"/>
      <c r="K372"/>
      <c r="L372"/>
      <c r="M372"/>
      <c r="N372"/>
    </row>
    <row r="373" spans="1:14" ht="16" hidden="1">
      <c r="A373" t="s">
        <v>13</v>
      </c>
      <c r="B373" t="s">
        <v>909</v>
      </c>
      <c r="C373" t="s">
        <v>148</v>
      </c>
      <c r="D373" t="s">
        <v>149</v>
      </c>
      <c r="E373" t="s">
        <v>195</v>
      </c>
      <c r="F373" t="s">
        <v>910</v>
      </c>
      <c r="G373" t="s">
        <v>19</v>
      </c>
      <c r="H373" t="s">
        <v>197</v>
      </c>
      <c r="I373" s="1" t="s">
        <v>198</v>
      </c>
      <c r="J373"/>
      <c r="K373"/>
      <c r="L373"/>
      <c r="M373"/>
      <c r="N373"/>
    </row>
    <row r="374" spans="1:14" ht="96">
      <c r="A374" t="s">
        <v>13</v>
      </c>
      <c r="B374" t="s">
        <v>82</v>
      </c>
      <c r="C374" t="s">
        <v>28</v>
      </c>
      <c r="D374" t="s">
        <v>29</v>
      </c>
      <c r="E374" t="s">
        <v>83</v>
      </c>
      <c r="F374" t="s">
        <v>911</v>
      </c>
      <c r="G374" t="s">
        <v>19</v>
      </c>
      <c r="H374" s="11" t="s">
        <v>85</v>
      </c>
      <c r="I374" s="2" t="s">
        <v>1858</v>
      </c>
      <c r="J374" s="4" t="s">
        <v>39</v>
      </c>
      <c r="K374" s="2" t="s">
        <v>87</v>
      </c>
      <c r="L374" s="2" t="str">
        <f>VLOOKUP(B374,Sheet2!F:Z,12,0)</f>
        <v>重插数据线</v>
      </c>
      <c r="M374" s="2" t="s">
        <v>41</v>
      </c>
      <c r="N374" s="3">
        <v>0</v>
      </c>
    </row>
    <row r="375" spans="1:14" ht="16" hidden="1">
      <c r="A375" t="s">
        <v>13</v>
      </c>
      <c r="B375" t="s">
        <v>912</v>
      </c>
      <c r="C375" t="s">
        <v>15</v>
      </c>
      <c r="D375" t="s">
        <v>16</v>
      </c>
      <c r="E375" t="s">
        <v>17</v>
      </c>
      <c r="F375" t="s">
        <v>913</v>
      </c>
      <c r="G375" t="s">
        <v>19</v>
      </c>
      <c r="H375" t="s">
        <v>358</v>
      </c>
      <c r="I375" s="1" t="s">
        <v>21</v>
      </c>
      <c r="J375"/>
      <c r="K375"/>
      <c r="L375"/>
      <c r="M375"/>
      <c r="N375"/>
    </row>
    <row r="376" spans="1:14" ht="16" hidden="1">
      <c r="A376" t="s">
        <v>13</v>
      </c>
      <c r="B376" t="s">
        <v>688</v>
      </c>
      <c r="C376" t="s">
        <v>15</v>
      </c>
      <c r="D376" t="s">
        <v>16</v>
      </c>
      <c r="E376" t="s">
        <v>17</v>
      </c>
      <c r="F376" t="s">
        <v>914</v>
      </c>
      <c r="G376" t="s">
        <v>19</v>
      </c>
      <c r="H376" t="s">
        <v>20</v>
      </c>
      <c r="I376" s="1" t="s">
        <v>21</v>
      </c>
      <c r="J376"/>
      <c r="K376"/>
      <c r="L376"/>
      <c r="M376"/>
      <c r="N376"/>
    </row>
    <row r="377" spans="1:14" ht="16" hidden="1">
      <c r="A377" t="s">
        <v>13</v>
      </c>
      <c r="B377" t="s">
        <v>238</v>
      </c>
      <c r="C377" t="s">
        <v>15</v>
      </c>
      <c r="D377" t="s">
        <v>16</v>
      </c>
      <c r="E377" t="s">
        <v>239</v>
      </c>
      <c r="F377" t="s">
        <v>915</v>
      </c>
      <c r="G377" t="s">
        <v>19</v>
      </c>
      <c r="H377" s="11" t="s">
        <v>241</v>
      </c>
      <c r="I377" s="2" t="s">
        <v>916</v>
      </c>
      <c r="J377" s="4" t="s">
        <v>39</v>
      </c>
      <c r="K377" s="2" t="s">
        <v>243</v>
      </c>
      <c r="L377" s="2" t="str">
        <f>VLOOKUP(B377,Sheet2!F:Z,12,0)</f>
        <v>重插CPU</v>
      </c>
      <c r="M377" s="2" t="s">
        <v>41</v>
      </c>
    </row>
    <row r="378" spans="1:14" ht="16" hidden="1">
      <c r="A378" t="s">
        <v>13</v>
      </c>
      <c r="B378" t="s">
        <v>917</v>
      </c>
      <c r="C378" t="s">
        <v>122</v>
      </c>
      <c r="D378" t="s">
        <v>123</v>
      </c>
      <c r="E378" t="s">
        <v>124</v>
      </c>
      <c r="F378" t="s">
        <v>918</v>
      </c>
      <c r="G378" t="s">
        <v>32</v>
      </c>
      <c r="H378" t="s">
        <v>152</v>
      </c>
      <c r="I378" s="1" t="s">
        <v>641</v>
      </c>
      <c r="J378"/>
      <c r="K378"/>
      <c r="L378"/>
      <c r="M378"/>
      <c r="N378"/>
    </row>
    <row r="379" spans="1:14" ht="64" hidden="1">
      <c r="A379" t="s">
        <v>13</v>
      </c>
      <c r="B379" t="s">
        <v>919</v>
      </c>
      <c r="C379" t="s">
        <v>28</v>
      </c>
      <c r="D379" t="s">
        <v>29</v>
      </c>
      <c r="E379" t="s">
        <v>77</v>
      </c>
      <c r="F379" t="s">
        <v>920</v>
      </c>
      <c r="G379" t="s">
        <v>32</v>
      </c>
      <c r="H379" t="s">
        <v>33</v>
      </c>
      <c r="I379" s="1" t="s">
        <v>38</v>
      </c>
      <c r="J379"/>
      <c r="K379"/>
      <c r="L379"/>
      <c r="M379"/>
      <c r="N379"/>
    </row>
    <row r="380" spans="1:14" ht="80" hidden="1">
      <c r="A380" t="s">
        <v>13</v>
      </c>
      <c r="B380" t="s">
        <v>516</v>
      </c>
      <c r="C380" t="s">
        <v>122</v>
      </c>
      <c r="D380" t="s">
        <v>123</v>
      </c>
      <c r="E380" t="s">
        <v>124</v>
      </c>
      <c r="F380" t="s">
        <v>921</v>
      </c>
      <c r="G380" t="s">
        <v>32</v>
      </c>
      <c r="H380" s="11" t="s">
        <v>152</v>
      </c>
      <c r="I380" s="2" t="s">
        <v>1859</v>
      </c>
      <c r="J380" s="4" t="s">
        <v>39</v>
      </c>
      <c r="K380" s="2" t="s">
        <v>519</v>
      </c>
      <c r="L380" s="2" t="str">
        <f>VLOOKUP(B380,Sheet2!F:Z,12,0)</f>
        <v>重插数据线</v>
      </c>
      <c r="M380" s="2" t="s">
        <v>41</v>
      </c>
    </row>
    <row r="381" spans="1:14" ht="64" hidden="1">
      <c r="A381" t="s">
        <v>13</v>
      </c>
      <c r="B381" t="s">
        <v>386</v>
      </c>
      <c r="C381" t="s">
        <v>28</v>
      </c>
      <c r="D381" t="s">
        <v>29</v>
      </c>
      <c r="E381" t="s">
        <v>36</v>
      </c>
      <c r="F381" t="s">
        <v>922</v>
      </c>
      <c r="G381" t="s">
        <v>19</v>
      </c>
      <c r="H381" t="s">
        <v>141</v>
      </c>
      <c r="I381" s="1" t="s">
        <v>923</v>
      </c>
      <c r="J381"/>
      <c r="K381"/>
      <c r="L381"/>
      <c r="M381"/>
      <c r="N381"/>
    </row>
    <row r="382" spans="1:14" ht="48" hidden="1">
      <c r="A382" t="s">
        <v>13</v>
      </c>
      <c r="B382" t="s">
        <v>924</v>
      </c>
      <c r="C382" t="s">
        <v>28</v>
      </c>
      <c r="D382" t="s">
        <v>29</v>
      </c>
      <c r="E382" t="s">
        <v>129</v>
      </c>
      <c r="F382" t="s">
        <v>925</v>
      </c>
      <c r="G382" t="s">
        <v>32</v>
      </c>
      <c r="H382" t="s">
        <v>33</v>
      </c>
      <c r="I382" s="1" t="s">
        <v>926</v>
      </c>
      <c r="J382"/>
      <c r="K382"/>
      <c r="L382"/>
      <c r="M382"/>
      <c r="N382"/>
    </row>
    <row r="383" spans="1:14" ht="64" hidden="1">
      <c r="A383" t="s">
        <v>13</v>
      </c>
      <c r="B383" t="s">
        <v>927</v>
      </c>
      <c r="C383" t="s">
        <v>28</v>
      </c>
      <c r="D383" t="s">
        <v>29</v>
      </c>
      <c r="E383" t="s">
        <v>129</v>
      </c>
      <c r="F383" t="s">
        <v>928</v>
      </c>
      <c r="G383" t="s">
        <v>32</v>
      </c>
      <c r="H383" t="s">
        <v>33</v>
      </c>
      <c r="I383" s="1" t="s">
        <v>38</v>
      </c>
      <c r="J383"/>
      <c r="K383"/>
      <c r="L383"/>
      <c r="M383"/>
      <c r="N383"/>
    </row>
    <row r="384" spans="1:14" ht="16" hidden="1">
      <c r="A384" t="s">
        <v>13</v>
      </c>
      <c r="B384" t="s">
        <v>238</v>
      </c>
      <c r="C384" t="s">
        <v>15</v>
      </c>
      <c r="D384" t="s">
        <v>16</v>
      </c>
      <c r="E384" t="s">
        <v>239</v>
      </c>
      <c r="F384" t="s">
        <v>929</v>
      </c>
      <c r="G384" t="s">
        <v>19</v>
      </c>
      <c r="H384" s="11" t="s">
        <v>439</v>
      </c>
      <c r="I384" s="2" t="s">
        <v>440</v>
      </c>
      <c r="J384" s="4" t="s">
        <v>39</v>
      </c>
      <c r="K384" s="2" t="s">
        <v>243</v>
      </c>
      <c r="L384" s="2" t="str">
        <f>VLOOKUP(B384,Sheet2!F:Z,12,0)</f>
        <v>重插CPU</v>
      </c>
      <c r="M384" s="2" t="s">
        <v>41</v>
      </c>
    </row>
    <row r="385" spans="1:14" ht="64" hidden="1">
      <c r="A385" t="s">
        <v>13</v>
      </c>
      <c r="B385" t="s">
        <v>216</v>
      </c>
      <c r="C385" t="s">
        <v>28</v>
      </c>
      <c r="D385" t="s">
        <v>29</v>
      </c>
      <c r="E385" t="s">
        <v>129</v>
      </c>
      <c r="F385" t="s">
        <v>930</v>
      </c>
      <c r="G385" t="s">
        <v>32</v>
      </c>
      <c r="H385" t="s">
        <v>33</v>
      </c>
      <c r="I385" s="1" t="s">
        <v>38</v>
      </c>
      <c r="J385"/>
      <c r="K385"/>
      <c r="L385"/>
      <c r="M385"/>
      <c r="N385"/>
    </row>
    <row r="386" spans="1:14" ht="64" hidden="1">
      <c r="A386" t="s">
        <v>13</v>
      </c>
      <c r="B386" t="s">
        <v>216</v>
      </c>
      <c r="C386" t="s">
        <v>28</v>
      </c>
      <c r="D386" t="s">
        <v>29</v>
      </c>
      <c r="E386" t="s">
        <v>129</v>
      </c>
      <c r="F386" t="s">
        <v>931</v>
      </c>
      <c r="G386" t="s">
        <v>32</v>
      </c>
      <c r="H386" t="s">
        <v>33</v>
      </c>
      <c r="I386" s="1" t="s">
        <v>38</v>
      </c>
      <c r="J386"/>
      <c r="K386"/>
      <c r="L386"/>
      <c r="M386"/>
      <c r="N386"/>
    </row>
    <row r="387" spans="1:14" ht="64" hidden="1">
      <c r="A387" t="s">
        <v>13</v>
      </c>
      <c r="B387" t="s">
        <v>932</v>
      </c>
      <c r="C387" t="s">
        <v>28</v>
      </c>
      <c r="D387" t="s">
        <v>29</v>
      </c>
      <c r="E387" t="s">
        <v>70</v>
      </c>
      <c r="F387" t="s">
        <v>933</v>
      </c>
      <c r="G387" t="s">
        <v>19</v>
      </c>
      <c r="H387" t="s">
        <v>109</v>
      </c>
      <c r="I387" s="1" t="s">
        <v>934</v>
      </c>
      <c r="J387"/>
      <c r="K387"/>
      <c r="L387"/>
      <c r="M387"/>
      <c r="N387"/>
    </row>
    <row r="388" spans="1:14" ht="64" hidden="1">
      <c r="A388" t="s">
        <v>13</v>
      </c>
      <c r="B388" t="s">
        <v>216</v>
      </c>
      <c r="C388" t="s">
        <v>28</v>
      </c>
      <c r="D388" t="s">
        <v>29</v>
      </c>
      <c r="E388" t="s">
        <v>129</v>
      </c>
      <c r="F388" t="s">
        <v>935</v>
      </c>
      <c r="G388" t="s">
        <v>32</v>
      </c>
      <c r="H388" t="s">
        <v>33</v>
      </c>
      <c r="I388" s="1" t="s">
        <v>38</v>
      </c>
      <c r="J388"/>
      <c r="K388"/>
      <c r="L388"/>
      <c r="M388"/>
      <c r="N388"/>
    </row>
    <row r="389" spans="1:14" ht="64" hidden="1">
      <c r="A389" t="s">
        <v>13</v>
      </c>
      <c r="B389" t="s">
        <v>936</v>
      </c>
      <c r="C389" t="s">
        <v>28</v>
      </c>
      <c r="D389" t="s">
        <v>29</v>
      </c>
      <c r="E389" t="s">
        <v>129</v>
      </c>
      <c r="F389" t="s">
        <v>937</v>
      </c>
      <c r="G389" t="s">
        <v>32</v>
      </c>
      <c r="H389" t="s">
        <v>33</v>
      </c>
      <c r="I389" s="1" t="s">
        <v>38</v>
      </c>
      <c r="J389"/>
      <c r="K389"/>
      <c r="L389"/>
      <c r="M389"/>
      <c r="N389"/>
    </row>
    <row r="390" spans="1:14" ht="64" hidden="1">
      <c r="A390" t="s">
        <v>13</v>
      </c>
      <c r="B390" t="s">
        <v>104</v>
      </c>
      <c r="C390" t="s">
        <v>28</v>
      </c>
      <c r="D390" t="s">
        <v>29</v>
      </c>
      <c r="E390" t="s">
        <v>77</v>
      </c>
      <c r="F390" t="s">
        <v>938</v>
      </c>
      <c r="G390" t="s">
        <v>19</v>
      </c>
      <c r="H390" t="s">
        <v>141</v>
      </c>
      <c r="I390" s="1" t="s">
        <v>939</v>
      </c>
      <c r="J390"/>
      <c r="K390"/>
      <c r="L390"/>
      <c r="M390"/>
      <c r="N390"/>
    </row>
    <row r="391" spans="1:14" ht="16" hidden="1">
      <c r="A391" t="s">
        <v>13</v>
      </c>
      <c r="B391" t="s">
        <v>82</v>
      </c>
      <c r="C391" t="s">
        <v>28</v>
      </c>
      <c r="D391" t="s">
        <v>29</v>
      </c>
      <c r="E391" t="s">
        <v>83</v>
      </c>
      <c r="F391" t="s">
        <v>940</v>
      </c>
      <c r="G391" t="s">
        <v>19</v>
      </c>
      <c r="H391" s="11" t="s">
        <v>85</v>
      </c>
      <c r="I391" s="2" t="s">
        <v>941</v>
      </c>
      <c r="J391" s="4" t="s">
        <v>39</v>
      </c>
      <c r="K391" s="2" t="s">
        <v>87</v>
      </c>
      <c r="L391" s="2" t="str">
        <f>VLOOKUP(B391,Sheet2!F:Z,12,0)</f>
        <v>重插数据线</v>
      </c>
      <c r="M391" s="2" t="s">
        <v>41</v>
      </c>
    </row>
    <row r="392" spans="1:14" ht="64" hidden="1">
      <c r="A392" t="s">
        <v>13</v>
      </c>
      <c r="B392" t="s">
        <v>453</v>
      </c>
      <c r="C392" t="s">
        <v>28</v>
      </c>
      <c r="D392" t="s">
        <v>29</v>
      </c>
      <c r="E392" t="s">
        <v>447</v>
      </c>
      <c r="F392" t="s">
        <v>942</v>
      </c>
      <c r="G392" t="s">
        <v>32</v>
      </c>
      <c r="H392" t="s">
        <v>33</v>
      </c>
      <c r="I392" s="1" t="s">
        <v>38</v>
      </c>
      <c r="J392"/>
      <c r="K392"/>
      <c r="L392"/>
      <c r="M392"/>
      <c r="N392"/>
    </row>
    <row r="393" spans="1:14" ht="32">
      <c r="A393" t="s">
        <v>13</v>
      </c>
      <c r="B393" t="s">
        <v>943</v>
      </c>
      <c r="C393" t="s">
        <v>222</v>
      </c>
      <c r="D393" t="s">
        <v>223</v>
      </c>
      <c r="E393" t="s">
        <v>224</v>
      </c>
      <c r="F393" t="s">
        <v>944</v>
      </c>
      <c r="G393" t="s">
        <v>19</v>
      </c>
      <c r="H393" s="11" t="s">
        <v>945</v>
      </c>
      <c r="I393" s="2" t="s">
        <v>946</v>
      </c>
      <c r="J393" s="4" t="s">
        <v>39</v>
      </c>
      <c r="K393" s="2" t="s">
        <v>947</v>
      </c>
      <c r="L393" s="2" t="str">
        <f>VLOOKUP(B393,Sheet2!F:Z,12,0)</f>
        <v>更换内存</v>
      </c>
      <c r="M393" s="2" t="s">
        <v>99</v>
      </c>
      <c r="N393" s="3">
        <v>0</v>
      </c>
    </row>
    <row r="394" spans="1:14" ht="64" hidden="1">
      <c r="A394" t="s">
        <v>13</v>
      </c>
      <c r="B394" t="s">
        <v>297</v>
      </c>
      <c r="C394" t="s">
        <v>28</v>
      </c>
      <c r="D394" t="s">
        <v>29</v>
      </c>
      <c r="E394" t="s">
        <v>129</v>
      </c>
      <c r="F394" t="s">
        <v>948</v>
      </c>
      <c r="G394" t="s">
        <v>19</v>
      </c>
      <c r="H394" t="s">
        <v>137</v>
      </c>
      <c r="I394" s="1" t="s">
        <v>38</v>
      </c>
      <c r="J394"/>
      <c r="K394"/>
      <c r="L394"/>
      <c r="M394"/>
      <c r="N394"/>
    </row>
    <row r="395" spans="1:14" ht="64" hidden="1">
      <c r="A395" t="s">
        <v>13</v>
      </c>
      <c r="B395" t="s">
        <v>949</v>
      </c>
      <c r="C395" t="s">
        <v>43</v>
      </c>
      <c r="D395" t="s">
        <v>950</v>
      </c>
      <c r="E395" t="s">
        <v>951</v>
      </c>
      <c r="F395" t="s">
        <v>952</v>
      </c>
      <c r="G395" t="s">
        <v>19</v>
      </c>
      <c r="H395" t="s">
        <v>417</v>
      </c>
      <c r="I395" s="1" t="s">
        <v>953</v>
      </c>
      <c r="J395"/>
      <c r="K395"/>
      <c r="L395"/>
      <c r="M395"/>
      <c r="N395"/>
    </row>
    <row r="396" spans="1:14" ht="16" hidden="1">
      <c r="A396" t="s">
        <v>13</v>
      </c>
      <c r="B396" t="s">
        <v>954</v>
      </c>
      <c r="C396" t="s">
        <v>28</v>
      </c>
      <c r="D396" t="s">
        <v>29</v>
      </c>
      <c r="E396" t="s">
        <v>447</v>
      </c>
      <c r="F396" t="s">
        <v>955</v>
      </c>
      <c r="G396" t="s">
        <v>19</v>
      </c>
      <c r="H396" t="s">
        <v>137</v>
      </c>
      <c r="I396" s="1" t="s">
        <v>956</v>
      </c>
      <c r="J396"/>
      <c r="K396"/>
      <c r="L396"/>
      <c r="M396"/>
      <c r="N396"/>
    </row>
    <row r="397" spans="1:14" ht="64" hidden="1">
      <c r="A397" t="s">
        <v>13</v>
      </c>
      <c r="B397" t="s">
        <v>957</v>
      </c>
      <c r="C397" t="s">
        <v>28</v>
      </c>
      <c r="D397" t="s">
        <v>29</v>
      </c>
      <c r="E397" t="s">
        <v>129</v>
      </c>
      <c r="F397" t="s">
        <v>958</v>
      </c>
      <c r="G397" t="s">
        <v>19</v>
      </c>
      <c r="H397" t="s">
        <v>145</v>
      </c>
      <c r="I397" s="1" t="s">
        <v>959</v>
      </c>
      <c r="J397"/>
      <c r="K397"/>
      <c r="L397"/>
      <c r="M397"/>
      <c r="N397"/>
    </row>
    <row r="398" spans="1:14" ht="96">
      <c r="A398" t="s">
        <v>13</v>
      </c>
      <c r="B398" t="s">
        <v>281</v>
      </c>
      <c r="C398" t="s">
        <v>28</v>
      </c>
      <c r="D398" t="s">
        <v>29</v>
      </c>
      <c r="E398" t="s">
        <v>265</v>
      </c>
      <c r="F398" t="s">
        <v>960</v>
      </c>
      <c r="G398" t="s">
        <v>32</v>
      </c>
      <c r="H398" s="11" t="s">
        <v>33</v>
      </c>
      <c r="I398" s="2" t="s">
        <v>1842</v>
      </c>
      <c r="J398" s="4" t="s">
        <v>39</v>
      </c>
      <c r="K398" s="2" t="s">
        <v>254</v>
      </c>
      <c r="L398" s="2" t="str">
        <f>VLOOKUP(B398,Sheet2!F:Z,12,0)</f>
        <v>更换retimer卡</v>
      </c>
      <c r="M398" s="2" t="s">
        <v>99</v>
      </c>
      <c r="N398" s="3">
        <v>0</v>
      </c>
    </row>
    <row r="399" spans="1:14" ht="64" hidden="1">
      <c r="A399" t="s">
        <v>13</v>
      </c>
      <c r="B399" t="s">
        <v>478</v>
      </c>
      <c r="C399" t="s">
        <v>28</v>
      </c>
      <c r="D399" t="s">
        <v>29</v>
      </c>
      <c r="E399" t="s">
        <v>265</v>
      </c>
      <c r="F399" t="s">
        <v>961</v>
      </c>
      <c r="G399" t="s">
        <v>19</v>
      </c>
      <c r="H399" t="s">
        <v>85</v>
      </c>
      <c r="I399" s="1" t="s">
        <v>962</v>
      </c>
      <c r="J399"/>
      <c r="K399"/>
      <c r="L399"/>
      <c r="M399"/>
      <c r="N399"/>
    </row>
    <row r="400" spans="1:14" ht="96">
      <c r="A400" t="s">
        <v>13</v>
      </c>
      <c r="B400" t="s">
        <v>252</v>
      </c>
      <c r="C400" t="s">
        <v>28</v>
      </c>
      <c r="D400" t="s">
        <v>29</v>
      </c>
      <c r="E400" t="s">
        <v>132</v>
      </c>
      <c r="F400" t="s">
        <v>963</v>
      </c>
      <c r="G400" t="s">
        <v>32</v>
      </c>
      <c r="H400" s="11" t="s">
        <v>33</v>
      </c>
      <c r="I400" s="2" t="s">
        <v>1842</v>
      </c>
      <c r="J400" s="4" t="s">
        <v>39</v>
      </c>
      <c r="K400" s="2" t="s">
        <v>254</v>
      </c>
      <c r="L400" s="2" t="str">
        <f>VLOOKUP(B400,Sheet2!F:Z,12,0)</f>
        <v>更换数据线</v>
      </c>
      <c r="M400" s="2" t="s">
        <v>99</v>
      </c>
      <c r="N400" s="3">
        <v>0</v>
      </c>
    </row>
    <row r="401" spans="1:14" ht="64" hidden="1">
      <c r="A401" t="s">
        <v>13</v>
      </c>
      <c r="B401" t="s">
        <v>964</v>
      </c>
      <c r="C401" t="s">
        <v>28</v>
      </c>
      <c r="D401" t="s">
        <v>29</v>
      </c>
      <c r="E401" t="s">
        <v>265</v>
      </c>
      <c r="F401" t="s">
        <v>965</v>
      </c>
      <c r="G401" t="s">
        <v>32</v>
      </c>
      <c r="H401" t="s">
        <v>33</v>
      </c>
      <c r="I401" s="1" t="s">
        <v>966</v>
      </c>
      <c r="J401"/>
      <c r="K401"/>
      <c r="L401"/>
      <c r="M401"/>
      <c r="N401"/>
    </row>
    <row r="402" spans="1:14" ht="64" hidden="1">
      <c r="A402" t="s">
        <v>13</v>
      </c>
      <c r="B402" t="s">
        <v>516</v>
      </c>
      <c r="C402" t="s">
        <v>122</v>
      </c>
      <c r="D402" t="s">
        <v>123</v>
      </c>
      <c r="E402" t="s">
        <v>124</v>
      </c>
      <c r="F402" t="s">
        <v>967</v>
      </c>
      <c r="G402" t="s">
        <v>62</v>
      </c>
      <c r="H402" t="s">
        <v>152</v>
      </c>
      <c r="I402" s="1" t="s">
        <v>968</v>
      </c>
      <c r="J402"/>
      <c r="K402"/>
      <c r="L402"/>
      <c r="M402"/>
      <c r="N402"/>
    </row>
    <row r="403" spans="1:14" ht="64" hidden="1">
      <c r="A403" t="s">
        <v>13</v>
      </c>
      <c r="B403" t="s">
        <v>104</v>
      </c>
      <c r="C403" t="s">
        <v>28</v>
      </c>
      <c r="D403" t="s">
        <v>29</v>
      </c>
      <c r="E403" t="s">
        <v>77</v>
      </c>
      <c r="F403" t="s">
        <v>969</v>
      </c>
      <c r="G403" t="s">
        <v>19</v>
      </c>
      <c r="H403" t="s">
        <v>290</v>
      </c>
      <c r="I403" s="1" t="s">
        <v>970</v>
      </c>
      <c r="J403"/>
      <c r="K403"/>
      <c r="L403"/>
      <c r="M403"/>
      <c r="N403"/>
    </row>
    <row r="404" spans="1:14" ht="16" hidden="1">
      <c r="A404" t="s">
        <v>13</v>
      </c>
      <c r="B404" t="s">
        <v>135</v>
      </c>
      <c r="C404" t="s">
        <v>28</v>
      </c>
      <c r="D404" t="s">
        <v>29</v>
      </c>
      <c r="E404" t="s">
        <v>132</v>
      </c>
      <c r="F404" t="s">
        <v>971</v>
      </c>
      <c r="G404" t="s">
        <v>19</v>
      </c>
      <c r="H404" t="s">
        <v>85</v>
      </c>
      <c r="I404" s="1" t="s">
        <v>941</v>
      </c>
      <c r="J404"/>
      <c r="K404"/>
      <c r="L404"/>
      <c r="M404"/>
      <c r="N404"/>
    </row>
    <row r="405" spans="1:14" ht="16" hidden="1">
      <c r="A405" t="s">
        <v>13</v>
      </c>
      <c r="B405" t="s">
        <v>972</v>
      </c>
      <c r="C405" t="s">
        <v>28</v>
      </c>
      <c r="D405" t="s">
        <v>29</v>
      </c>
      <c r="E405" t="s">
        <v>346</v>
      </c>
      <c r="F405" t="s">
        <v>973</v>
      </c>
      <c r="G405" t="s">
        <v>32</v>
      </c>
      <c r="H405" s="11" t="s">
        <v>33</v>
      </c>
      <c r="I405" s="2" t="s">
        <v>641</v>
      </c>
      <c r="J405" s="4" t="s">
        <v>39</v>
      </c>
      <c r="K405" s="2" t="s">
        <v>974</v>
      </c>
      <c r="L405" s="2" t="str">
        <f>VLOOKUP(B405,Sheet2!F:Z,12,0)</f>
        <v>更换硬盘</v>
      </c>
      <c r="M405" s="2" t="s">
        <v>99</v>
      </c>
    </row>
    <row r="406" spans="1:14" ht="64" hidden="1">
      <c r="A406" t="s">
        <v>13</v>
      </c>
      <c r="B406" t="s">
        <v>568</v>
      </c>
      <c r="C406" t="s">
        <v>15</v>
      </c>
      <c r="D406" t="s">
        <v>16</v>
      </c>
      <c r="E406" t="s">
        <v>17</v>
      </c>
      <c r="F406" t="s">
        <v>975</v>
      </c>
      <c r="G406" t="s">
        <v>19</v>
      </c>
      <c r="H406" t="s">
        <v>509</v>
      </c>
      <c r="I406" s="1" t="s">
        <v>976</v>
      </c>
      <c r="J406"/>
      <c r="K406"/>
      <c r="L406"/>
      <c r="M406"/>
      <c r="N406"/>
    </row>
    <row r="407" spans="1:14" ht="16" hidden="1">
      <c r="A407" t="s">
        <v>13</v>
      </c>
      <c r="B407" t="s">
        <v>565</v>
      </c>
      <c r="C407" t="s">
        <v>43</v>
      </c>
      <c r="E407" t="s">
        <v>30</v>
      </c>
      <c r="F407" t="s">
        <v>977</v>
      </c>
      <c r="G407" t="s">
        <v>32</v>
      </c>
      <c r="H407" s="11" t="s">
        <v>90</v>
      </c>
      <c r="I407" s="2" t="s">
        <v>91</v>
      </c>
      <c r="J407" s="4" t="s">
        <v>39</v>
      </c>
      <c r="K407" s="2" t="s">
        <v>978</v>
      </c>
      <c r="L407" s="2" t="str">
        <f>VLOOKUP(B407,Sheet2!F:Z,12,0)</f>
        <v>重插智能网卡</v>
      </c>
      <c r="M407" s="2" t="s">
        <v>41</v>
      </c>
    </row>
    <row r="408" spans="1:14" ht="96" hidden="1">
      <c r="A408" t="s">
        <v>13</v>
      </c>
      <c r="B408" t="s">
        <v>516</v>
      </c>
      <c r="C408" t="s">
        <v>122</v>
      </c>
      <c r="D408" t="s">
        <v>123</v>
      </c>
      <c r="E408" t="s">
        <v>124</v>
      </c>
      <c r="F408" t="s">
        <v>979</v>
      </c>
      <c r="G408" t="s">
        <v>32</v>
      </c>
      <c r="H408" s="11" t="s">
        <v>152</v>
      </c>
      <c r="I408" s="2" t="s">
        <v>1848</v>
      </c>
      <c r="J408" s="4" t="s">
        <v>39</v>
      </c>
      <c r="K408" s="2" t="s">
        <v>519</v>
      </c>
      <c r="L408" s="2" t="str">
        <f>VLOOKUP(B408,Sheet2!F:Z,12,0)</f>
        <v>重插数据线</v>
      </c>
      <c r="M408" s="2" t="s">
        <v>41</v>
      </c>
    </row>
    <row r="409" spans="1:14" ht="64" hidden="1">
      <c r="A409" t="s">
        <v>13</v>
      </c>
      <c r="B409" t="s">
        <v>121</v>
      </c>
      <c r="C409" t="s">
        <v>122</v>
      </c>
      <c r="D409" t="s">
        <v>123</v>
      </c>
      <c r="E409" t="s">
        <v>124</v>
      </c>
      <c r="F409" t="s">
        <v>980</v>
      </c>
      <c r="G409" t="s">
        <v>19</v>
      </c>
      <c r="H409" t="s">
        <v>51</v>
      </c>
      <c r="I409" s="1" t="s">
        <v>493</v>
      </c>
      <c r="J409"/>
      <c r="K409"/>
      <c r="L409"/>
      <c r="M409"/>
      <c r="N409"/>
    </row>
    <row r="410" spans="1:14" ht="16" hidden="1">
      <c r="A410" t="s">
        <v>13</v>
      </c>
      <c r="B410" t="s">
        <v>264</v>
      </c>
      <c r="C410" t="s">
        <v>43</v>
      </c>
      <c r="E410" t="s">
        <v>265</v>
      </c>
      <c r="F410" t="s">
        <v>981</v>
      </c>
      <c r="G410" t="s">
        <v>32</v>
      </c>
      <c r="H410" t="s">
        <v>90</v>
      </c>
      <c r="I410" s="1" t="s">
        <v>91</v>
      </c>
      <c r="J410"/>
      <c r="K410"/>
      <c r="L410"/>
      <c r="M410"/>
      <c r="N410"/>
    </row>
    <row r="411" spans="1:14" ht="96" hidden="1">
      <c r="A411" t="s">
        <v>13</v>
      </c>
      <c r="B411" t="s">
        <v>281</v>
      </c>
      <c r="C411" t="s">
        <v>28</v>
      </c>
      <c r="D411" t="s">
        <v>29</v>
      </c>
      <c r="E411" t="s">
        <v>265</v>
      </c>
      <c r="F411" t="s">
        <v>982</v>
      </c>
      <c r="G411" t="s">
        <v>32</v>
      </c>
      <c r="H411" s="11" t="s">
        <v>33</v>
      </c>
      <c r="I411" s="2" t="s">
        <v>1860</v>
      </c>
      <c r="J411" s="4" t="s">
        <v>39</v>
      </c>
      <c r="K411" s="2" t="s">
        <v>254</v>
      </c>
      <c r="L411" s="2" t="str">
        <f>VLOOKUP(B411,Sheet2!F:Z,12,0)</f>
        <v>更换retimer卡</v>
      </c>
      <c r="M411" s="2" t="s">
        <v>99</v>
      </c>
    </row>
    <row r="412" spans="1:14" ht="16" hidden="1">
      <c r="A412" t="s">
        <v>13</v>
      </c>
      <c r="B412" t="s">
        <v>983</v>
      </c>
      <c r="C412" t="s">
        <v>28</v>
      </c>
      <c r="D412" t="s">
        <v>29</v>
      </c>
      <c r="E412" t="s">
        <v>265</v>
      </c>
      <c r="F412" t="s">
        <v>984</v>
      </c>
      <c r="G412" t="s">
        <v>32</v>
      </c>
      <c r="H412" t="s">
        <v>90</v>
      </c>
      <c r="I412" s="1" t="s">
        <v>91</v>
      </c>
      <c r="J412"/>
      <c r="K412"/>
      <c r="L412"/>
      <c r="M412"/>
      <c r="N412"/>
    </row>
    <row r="413" spans="1:14" ht="16" hidden="1">
      <c r="A413" t="s">
        <v>13</v>
      </c>
      <c r="B413" t="s">
        <v>295</v>
      </c>
      <c r="C413" t="s">
        <v>43</v>
      </c>
      <c r="E413" t="s">
        <v>70</v>
      </c>
      <c r="F413" t="s">
        <v>985</v>
      </c>
      <c r="G413" t="s">
        <v>62</v>
      </c>
      <c r="H413" t="s">
        <v>90</v>
      </c>
      <c r="I413" s="1" t="s">
        <v>91</v>
      </c>
      <c r="J413"/>
      <c r="K413"/>
      <c r="L413"/>
      <c r="M413"/>
      <c r="N413"/>
    </row>
    <row r="414" spans="1:14" ht="16" hidden="1">
      <c r="A414" t="s">
        <v>13</v>
      </c>
      <c r="B414" t="s">
        <v>362</v>
      </c>
      <c r="C414" t="s">
        <v>43</v>
      </c>
      <c r="E414" t="s">
        <v>30</v>
      </c>
      <c r="F414" t="s">
        <v>986</v>
      </c>
      <c r="G414" t="s">
        <v>62</v>
      </c>
      <c r="H414" t="s">
        <v>90</v>
      </c>
      <c r="I414" s="1" t="s">
        <v>91</v>
      </c>
      <c r="J414"/>
      <c r="K414"/>
      <c r="L414"/>
      <c r="M414"/>
      <c r="N414"/>
    </row>
    <row r="415" spans="1:14" ht="16" hidden="1">
      <c r="A415" t="s">
        <v>13</v>
      </c>
      <c r="B415" t="s">
        <v>987</v>
      </c>
      <c r="C415" t="s">
        <v>15</v>
      </c>
      <c r="D415" t="s">
        <v>16</v>
      </c>
      <c r="E415" t="s">
        <v>23</v>
      </c>
      <c r="F415" t="s">
        <v>988</v>
      </c>
      <c r="G415" t="s">
        <v>19</v>
      </c>
      <c r="H415" t="s">
        <v>989</v>
      </c>
      <c r="I415" s="1" t="s">
        <v>21</v>
      </c>
      <c r="J415"/>
      <c r="K415"/>
      <c r="L415"/>
      <c r="M415"/>
      <c r="N415"/>
    </row>
    <row r="416" spans="1:14" ht="64" hidden="1">
      <c r="A416" t="s">
        <v>13</v>
      </c>
      <c r="B416" t="s">
        <v>27</v>
      </c>
      <c r="C416" t="s">
        <v>28</v>
      </c>
      <c r="D416" t="s">
        <v>29</v>
      </c>
      <c r="E416" t="s">
        <v>30</v>
      </c>
      <c r="F416" t="s">
        <v>990</v>
      </c>
      <c r="G416" t="s">
        <v>32</v>
      </c>
      <c r="H416" t="s">
        <v>33</v>
      </c>
      <c r="I416" s="1" t="s">
        <v>991</v>
      </c>
      <c r="J416"/>
      <c r="K416"/>
      <c r="L416"/>
      <c r="M416"/>
      <c r="N416"/>
    </row>
    <row r="417" spans="1:14" ht="64" hidden="1">
      <c r="A417" t="s">
        <v>13</v>
      </c>
      <c r="B417" t="s">
        <v>216</v>
      </c>
      <c r="C417" t="s">
        <v>28</v>
      </c>
      <c r="D417" t="s">
        <v>29</v>
      </c>
      <c r="E417" t="s">
        <v>129</v>
      </c>
      <c r="F417" t="s">
        <v>992</v>
      </c>
      <c r="G417" t="s">
        <v>32</v>
      </c>
      <c r="H417" t="s">
        <v>33</v>
      </c>
      <c r="I417" s="1" t="s">
        <v>38</v>
      </c>
      <c r="J417"/>
      <c r="K417"/>
      <c r="L417"/>
      <c r="M417"/>
      <c r="N417"/>
    </row>
    <row r="418" spans="1:14" ht="16" hidden="1">
      <c r="A418" t="s">
        <v>13</v>
      </c>
      <c r="B418" t="s">
        <v>453</v>
      </c>
      <c r="C418" t="s">
        <v>28</v>
      </c>
      <c r="D418" t="s">
        <v>29</v>
      </c>
      <c r="E418" t="s">
        <v>447</v>
      </c>
      <c r="F418" t="s">
        <v>993</v>
      </c>
      <c r="G418" t="s">
        <v>32</v>
      </c>
      <c r="H418" t="s">
        <v>33</v>
      </c>
      <c r="I418" s="1" t="s">
        <v>531</v>
      </c>
      <c r="J418"/>
      <c r="K418"/>
      <c r="L418"/>
      <c r="M418"/>
      <c r="N418"/>
    </row>
    <row r="419" spans="1:14" ht="64" hidden="1">
      <c r="A419" t="s">
        <v>13</v>
      </c>
      <c r="B419" t="s">
        <v>216</v>
      </c>
      <c r="C419" t="s">
        <v>28</v>
      </c>
      <c r="D419" t="s">
        <v>29</v>
      </c>
      <c r="E419" t="s">
        <v>129</v>
      </c>
      <c r="F419" t="s">
        <v>994</v>
      </c>
      <c r="G419" t="s">
        <v>32</v>
      </c>
      <c r="H419" t="s">
        <v>33</v>
      </c>
      <c r="I419" s="1" t="s">
        <v>995</v>
      </c>
      <c r="J419"/>
      <c r="K419"/>
      <c r="L419"/>
      <c r="M419"/>
      <c r="N419"/>
    </row>
    <row r="420" spans="1:14" ht="64" hidden="1">
      <c r="A420" t="s">
        <v>13</v>
      </c>
      <c r="B420" t="s">
        <v>216</v>
      </c>
      <c r="C420" t="s">
        <v>28</v>
      </c>
      <c r="D420" t="s">
        <v>29</v>
      </c>
      <c r="E420" t="s">
        <v>129</v>
      </c>
      <c r="F420" t="s">
        <v>996</v>
      </c>
      <c r="G420" t="s">
        <v>32</v>
      </c>
      <c r="H420" t="s">
        <v>33</v>
      </c>
      <c r="I420" s="1" t="s">
        <v>38</v>
      </c>
      <c r="J420"/>
      <c r="K420"/>
      <c r="L420"/>
      <c r="M420"/>
      <c r="N420"/>
    </row>
    <row r="421" spans="1:14" ht="16" hidden="1">
      <c r="A421" t="s">
        <v>13</v>
      </c>
      <c r="B421" t="s">
        <v>453</v>
      </c>
      <c r="C421" t="s">
        <v>28</v>
      </c>
      <c r="D421" t="s">
        <v>29</v>
      </c>
      <c r="E421" t="s">
        <v>447</v>
      </c>
      <c r="F421" t="s">
        <v>997</v>
      </c>
      <c r="G421" t="s">
        <v>32</v>
      </c>
      <c r="H421" t="s">
        <v>33</v>
      </c>
      <c r="I421" s="1" t="s">
        <v>531</v>
      </c>
      <c r="J421"/>
      <c r="K421"/>
      <c r="L421"/>
      <c r="M421"/>
      <c r="N421"/>
    </row>
    <row r="422" spans="1:14" ht="64" hidden="1">
      <c r="A422" t="s">
        <v>13</v>
      </c>
      <c r="B422" t="s">
        <v>716</v>
      </c>
      <c r="C422" t="s">
        <v>28</v>
      </c>
      <c r="D422" t="s">
        <v>29</v>
      </c>
      <c r="E422" t="s">
        <v>83</v>
      </c>
      <c r="F422" t="s">
        <v>998</v>
      </c>
      <c r="G422" t="s">
        <v>19</v>
      </c>
      <c r="H422" t="s">
        <v>145</v>
      </c>
      <c r="I422" s="1" t="s">
        <v>999</v>
      </c>
      <c r="J422"/>
      <c r="K422"/>
      <c r="L422"/>
      <c r="M422"/>
      <c r="N422"/>
    </row>
    <row r="423" spans="1:14" ht="16" hidden="1">
      <c r="A423" t="s">
        <v>13</v>
      </c>
      <c r="B423" t="s">
        <v>1000</v>
      </c>
      <c r="C423" t="s">
        <v>15</v>
      </c>
      <c r="D423" t="s">
        <v>16</v>
      </c>
      <c r="E423" t="s">
        <v>23</v>
      </c>
      <c r="F423" t="s">
        <v>1001</v>
      </c>
      <c r="G423" t="s">
        <v>19</v>
      </c>
      <c r="H423" t="s">
        <v>25</v>
      </c>
      <c r="I423" s="1" t="s">
        <v>26</v>
      </c>
      <c r="J423"/>
      <c r="K423"/>
      <c r="L423"/>
      <c r="M423"/>
      <c r="N423"/>
    </row>
    <row r="424" spans="1:14" ht="64" hidden="1">
      <c r="A424" t="s">
        <v>13</v>
      </c>
      <c r="B424" t="s">
        <v>1002</v>
      </c>
      <c r="C424" t="s">
        <v>43</v>
      </c>
      <c r="D424" t="s">
        <v>44</v>
      </c>
      <c r="E424" t="s">
        <v>54</v>
      </c>
      <c r="F424" t="s">
        <v>1003</v>
      </c>
      <c r="G424" t="s">
        <v>19</v>
      </c>
      <c r="H424" t="s">
        <v>628</v>
      </c>
      <c r="I424" s="1" t="s">
        <v>1004</v>
      </c>
      <c r="J424"/>
      <c r="K424"/>
      <c r="L424"/>
      <c r="M424"/>
      <c r="N424"/>
    </row>
    <row r="425" spans="1:14" ht="16" hidden="1">
      <c r="A425" t="s">
        <v>13</v>
      </c>
      <c r="B425" t="s">
        <v>234</v>
      </c>
      <c r="C425" t="s">
        <v>43</v>
      </c>
      <c r="D425" t="s">
        <v>44</v>
      </c>
      <c r="E425" t="s">
        <v>45</v>
      </c>
      <c r="F425" t="s">
        <v>1005</v>
      </c>
      <c r="G425" t="s">
        <v>19</v>
      </c>
      <c r="H425" s="11" t="s">
        <v>169</v>
      </c>
      <c r="I425" s="2" t="s">
        <v>236</v>
      </c>
      <c r="J425" s="4" t="s">
        <v>39</v>
      </c>
      <c r="K425" s="2" t="s">
        <v>237</v>
      </c>
      <c r="L425" s="2" t="str">
        <f>VLOOKUP(B425,Sheet2!F:Z,12,0)</f>
        <v>更换硬盘</v>
      </c>
      <c r="M425" s="2" t="s">
        <v>41</v>
      </c>
    </row>
    <row r="426" spans="1:14" ht="64" hidden="1">
      <c r="A426" t="s">
        <v>13</v>
      </c>
      <c r="B426" t="s">
        <v>59</v>
      </c>
      <c r="C426" t="s">
        <v>28</v>
      </c>
      <c r="D426" t="s">
        <v>29</v>
      </c>
      <c r="E426" t="s">
        <v>60</v>
      </c>
      <c r="F426" t="s">
        <v>1006</v>
      </c>
      <c r="G426" t="s">
        <v>62</v>
      </c>
      <c r="H426" t="s">
        <v>63</v>
      </c>
      <c r="I426" s="1" t="s">
        <v>64</v>
      </c>
      <c r="J426"/>
      <c r="K426"/>
      <c r="L426"/>
      <c r="M426"/>
      <c r="N426"/>
    </row>
    <row r="427" spans="1:14" ht="16" hidden="1">
      <c r="A427" t="s">
        <v>13</v>
      </c>
      <c r="B427" t="s">
        <v>884</v>
      </c>
      <c r="C427" t="s">
        <v>43</v>
      </c>
      <c r="E427" t="s">
        <v>77</v>
      </c>
      <c r="F427" t="s">
        <v>1007</v>
      </c>
      <c r="G427" t="s">
        <v>62</v>
      </c>
      <c r="H427" t="s">
        <v>90</v>
      </c>
      <c r="I427" s="1" t="s">
        <v>91</v>
      </c>
      <c r="J427"/>
      <c r="K427"/>
      <c r="L427"/>
      <c r="M427"/>
      <c r="N427"/>
    </row>
    <row r="428" spans="1:14" ht="64" hidden="1">
      <c r="A428" t="s">
        <v>13</v>
      </c>
      <c r="B428" t="s">
        <v>107</v>
      </c>
      <c r="C428" t="s">
        <v>28</v>
      </c>
      <c r="D428" t="s">
        <v>29</v>
      </c>
      <c r="E428" t="s">
        <v>83</v>
      </c>
      <c r="F428" t="s">
        <v>1008</v>
      </c>
      <c r="G428" t="s">
        <v>62</v>
      </c>
      <c r="H428" t="s">
        <v>109</v>
      </c>
      <c r="I428" s="1" t="s">
        <v>1009</v>
      </c>
      <c r="J428"/>
      <c r="K428"/>
      <c r="L428"/>
      <c r="M428"/>
      <c r="N428"/>
    </row>
    <row r="429" spans="1:14" ht="16" hidden="1">
      <c r="A429" t="s">
        <v>13</v>
      </c>
      <c r="B429" t="s">
        <v>884</v>
      </c>
      <c r="C429" t="s">
        <v>43</v>
      </c>
      <c r="E429" t="s">
        <v>77</v>
      </c>
      <c r="F429" t="s">
        <v>1010</v>
      </c>
      <c r="G429" t="s">
        <v>32</v>
      </c>
      <c r="H429" s="11" t="s">
        <v>90</v>
      </c>
      <c r="I429" s="2" t="s">
        <v>91</v>
      </c>
      <c r="J429" s="4" t="s">
        <v>39</v>
      </c>
      <c r="K429" s="2" t="s">
        <v>631</v>
      </c>
      <c r="L429" s="2" t="str">
        <f>VLOOKUP(B429,Sheet2!F:Z,12,0)</f>
        <v>重插网卡</v>
      </c>
      <c r="M429" s="2" t="s">
        <v>41</v>
      </c>
    </row>
    <row r="430" spans="1:14" ht="64" hidden="1">
      <c r="A430" t="s">
        <v>13</v>
      </c>
      <c r="B430" t="s">
        <v>1011</v>
      </c>
      <c r="C430" t="s">
        <v>28</v>
      </c>
      <c r="D430" t="s">
        <v>29</v>
      </c>
      <c r="E430" t="s">
        <v>30</v>
      </c>
      <c r="F430" t="s">
        <v>1012</v>
      </c>
      <c r="G430" t="s">
        <v>19</v>
      </c>
      <c r="H430" t="s">
        <v>145</v>
      </c>
      <c r="I430" s="1" t="s">
        <v>1013</v>
      </c>
      <c r="J430"/>
      <c r="K430"/>
      <c r="L430"/>
      <c r="M430"/>
      <c r="N430"/>
    </row>
    <row r="431" spans="1:14" ht="16" hidden="1">
      <c r="A431" t="s">
        <v>13</v>
      </c>
      <c r="B431" t="s">
        <v>135</v>
      </c>
      <c r="C431" t="s">
        <v>43</v>
      </c>
      <c r="E431" t="s">
        <v>132</v>
      </c>
      <c r="F431" t="s">
        <v>1014</v>
      </c>
      <c r="G431" t="s">
        <v>62</v>
      </c>
      <c r="H431" s="11" t="s">
        <v>90</v>
      </c>
      <c r="I431" s="2" t="s">
        <v>91</v>
      </c>
      <c r="J431" s="4" t="s">
        <v>39</v>
      </c>
      <c r="K431" s="2" t="s">
        <v>631</v>
      </c>
      <c r="L431" s="2" t="str">
        <f>VLOOKUP(B431,Sheet2!F:Z,12,0)</f>
        <v>重插智能网卡</v>
      </c>
      <c r="M431" s="2" t="s">
        <v>41</v>
      </c>
    </row>
    <row r="432" spans="1:14" ht="64" hidden="1">
      <c r="A432" t="s">
        <v>13</v>
      </c>
      <c r="B432" t="s">
        <v>873</v>
      </c>
      <c r="C432" t="s">
        <v>43</v>
      </c>
      <c r="E432" t="s">
        <v>447</v>
      </c>
      <c r="F432" t="s">
        <v>1015</v>
      </c>
      <c r="G432" t="s">
        <v>32</v>
      </c>
      <c r="H432" t="s">
        <v>90</v>
      </c>
      <c r="I432" s="1" t="s">
        <v>875</v>
      </c>
      <c r="J432"/>
      <c r="K432"/>
      <c r="L432"/>
      <c r="M432"/>
      <c r="N432"/>
    </row>
    <row r="433" spans="1:14" ht="16" hidden="1">
      <c r="A433" t="s">
        <v>13</v>
      </c>
      <c r="B433" t="s">
        <v>297</v>
      </c>
      <c r="C433" t="s">
        <v>43</v>
      </c>
      <c r="E433" t="s">
        <v>129</v>
      </c>
      <c r="F433" t="s">
        <v>1016</v>
      </c>
      <c r="G433" t="s">
        <v>62</v>
      </c>
      <c r="H433" t="s">
        <v>90</v>
      </c>
      <c r="I433" s="1" t="s">
        <v>91</v>
      </c>
      <c r="J433"/>
      <c r="K433"/>
      <c r="L433"/>
      <c r="M433"/>
      <c r="N433"/>
    </row>
    <row r="434" spans="1:14" ht="80">
      <c r="A434" t="s">
        <v>13</v>
      </c>
      <c r="B434" t="s">
        <v>516</v>
      </c>
      <c r="C434" t="s">
        <v>122</v>
      </c>
      <c r="D434" t="s">
        <v>123</v>
      </c>
      <c r="E434" t="s">
        <v>124</v>
      </c>
      <c r="F434" t="s">
        <v>1017</v>
      </c>
      <c r="G434" t="s">
        <v>19</v>
      </c>
      <c r="H434" s="11" t="s">
        <v>152</v>
      </c>
      <c r="I434" s="2" t="s">
        <v>1861</v>
      </c>
      <c r="J434" s="4" t="s">
        <v>39</v>
      </c>
      <c r="K434" s="2" t="s">
        <v>905</v>
      </c>
      <c r="L434" s="2" t="str">
        <f>VLOOKUP(B434,Sheet2!F:Z,12,0)</f>
        <v>重插数据线</v>
      </c>
      <c r="M434" s="2" t="s">
        <v>41</v>
      </c>
      <c r="N434" s="3">
        <v>0</v>
      </c>
    </row>
    <row r="435" spans="1:14" ht="80" hidden="1">
      <c r="A435" t="s">
        <v>13</v>
      </c>
      <c r="B435" t="s">
        <v>472</v>
      </c>
      <c r="C435" t="s">
        <v>28</v>
      </c>
      <c r="D435" t="s">
        <v>29</v>
      </c>
      <c r="E435" t="s">
        <v>70</v>
      </c>
      <c r="F435" t="s">
        <v>1018</v>
      </c>
      <c r="G435" t="s">
        <v>19</v>
      </c>
      <c r="H435" t="s">
        <v>85</v>
      </c>
      <c r="I435" s="1" t="s">
        <v>1019</v>
      </c>
      <c r="J435"/>
      <c r="K435"/>
      <c r="L435"/>
      <c r="M435"/>
      <c r="N435"/>
    </row>
    <row r="436" spans="1:14" ht="64" hidden="1">
      <c r="A436" t="s">
        <v>13</v>
      </c>
      <c r="B436" t="s">
        <v>27</v>
      </c>
      <c r="C436" t="s">
        <v>28</v>
      </c>
      <c r="D436" t="s">
        <v>29</v>
      </c>
      <c r="E436" t="s">
        <v>30</v>
      </c>
      <c r="F436" t="s">
        <v>1020</v>
      </c>
      <c r="G436" t="s">
        <v>32</v>
      </c>
      <c r="H436" t="s">
        <v>33</v>
      </c>
      <c r="I436" s="1" t="s">
        <v>1021</v>
      </c>
      <c r="J436"/>
      <c r="K436"/>
      <c r="L436"/>
      <c r="M436"/>
      <c r="N436"/>
    </row>
    <row r="437" spans="1:14" ht="16" hidden="1">
      <c r="A437" t="s">
        <v>13</v>
      </c>
      <c r="B437" t="s">
        <v>238</v>
      </c>
      <c r="C437" t="s">
        <v>15</v>
      </c>
      <c r="D437" t="s">
        <v>16</v>
      </c>
      <c r="E437" t="s">
        <v>239</v>
      </c>
      <c r="F437" t="s">
        <v>1022</v>
      </c>
      <c r="G437" t="s">
        <v>19</v>
      </c>
      <c r="H437" s="11" t="s">
        <v>385</v>
      </c>
      <c r="I437" s="2" t="s">
        <v>233</v>
      </c>
      <c r="J437" s="4" t="s">
        <v>39</v>
      </c>
      <c r="K437" s="2" t="s">
        <v>243</v>
      </c>
      <c r="L437" s="2" t="str">
        <f>VLOOKUP(B437,Sheet2!F:Z,12,0)</f>
        <v>重插CPU</v>
      </c>
      <c r="M437" s="2" t="s">
        <v>41</v>
      </c>
    </row>
    <row r="438" spans="1:14" ht="16" hidden="1">
      <c r="A438" t="s">
        <v>13</v>
      </c>
      <c r="B438" t="s">
        <v>234</v>
      </c>
      <c r="C438" t="s">
        <v>43</v>
      </c>
      <c r="D438" t="s">
        <v>44</v>
      </c>
      <c r="E438" t="s">
        <v>45</v>
      </c>
      <c r="F438" t="s">
        <v>1023</v>
      </c>
      <c r="G438" t="s">
        <v>19</v>
      </c>
      <c r="H438" s="11" t="s">
        <v>169</v>
      </c>
      <c r="I438" s="2" t="s">
        <v>236</v>
      </c>
      <c r="J438" s="4" t="s">
        <v>39</v>
      </c>
      <c r="K438" s="2" t="s">
        <v>237</v>
      </c>
      <c r="L438" s="2" t="str">
        <f>VLOOKUP(B438,Sheet2!F:Z,12,0)</f>
        <v>更换硬盘</v>
      </c>
      <c r="M438" s="2" t="s">
        <v>41</v>
      </c>
    </row>
    <row r="439" spans="1:14" ht="16" hidden="1">
      <c r="A439" t="s">
        <v>13</v>
      </c>
      <c r="B439" t="s">
        <v>1024</v>
      </c>
      <c r="C439" t="s">
        <v>43</v>
      </c>
      <c r="D439" t="s">
        <v>44</v>
      </c>
      <c r="E439" t="s">
        <v>54</v>
      </c>
      <c r="F439" t="s">
        <v>1025</v>
      </c>
      <c r="G439" t="s">
        <v>19</v>
      </c>
      <c r="H439" t="s">
        <v>169</v>
      </c>
      <c r="I439" s="1" t="s">
        <v>170</v>
      </c>
      <c r="J439"/>
      <c r="K439"/>
      <c r="L439"/>
      <c r="M439"/>
      <c r="N439"/>
    </row>
    <row r="440" spans="1:14" ht="16" hidden="1">
      <c r="A440" t="s">
        <v>13</v>
      </c>
      <c r="B440" t="s">
        <v>1024</v>
      </c>
      <c r="C440" t="s">
        <v>43</v>
      </c>
      <c r="D440" t="s">
        <v>44</v>
      </c>
      <c r="E440" t="s">
        <v>54</v>
      </c>
      <c r="F440" t="s">
        <v>1026</v>
      </c>
      <c r="G440" t="s">
        <v>19</v>
      </c>
      <c r="H440" t="s">
        <v>169</v>
      </c>
      <c r="I440" s="1" t="s">
        <v>170</v>
      </c>
      <c r="J440"/>
      <c r="K440"/>
      <c r="L440"/>
      <c r="M440"/>
      <c r="N440"/>
    </row>
    <row r="441" spans="1:14" ht="16" hidden="1">
      <c r="A441" t="s">
        <v>13</v>
      </c>
      <c r="B441" t="s">
        <v>111</v>
      </c>
      <c r="C441" t="s">
        <v>15</v>
      </c>
      <c r="D441" t="s">
        <v>16</v>
      </c>
      <c r="E441" t="s">
        <v>23</v>
      </c>
      <c r="F441" t="s">
        <v>1027</v>
      </c>
      <c r="G441" t="s">
        <v>113</v>
      </c>
      <c r="H441" t="s">
        <v>114</v>
      </c>
      <c r="I441" s="1" t="s">
        <v>115</v>
      </c>
      <c r="J441"/>
      <c r="K441"/>
      <c r="L441"/>
      <c r="M441"/>
      <c r="N441"/>
    </row>
    <row r="442" spans="1:14" ht="16" hidden="1">
      <c r="A442" t="s">
        <v>13</v>
      </c>
      <c r="B442" t="s">
        <v>1028</v>
      </c>
      <c r="C442" t="s">
        <v>15</v>
      </c>
      <c r="D442" t="s">
        <v>16</v>
      </c>
      <c r="E442" t="s">
        <v>239</v>
      </c>
      <c r="F442" t="s">
        <v>1029</v>
      </c>
      <c r="G442" t="s">
        <v>19</v>
      </c>
      <c r="H442" t="s">
        <v>96</v>
      </c>
      <c r="I442" s="1" t="s">
        <v>21</v>
      </c>
      <c r="J442"/>
      <c r="K442"/>
      <c r="L442"/>
      <c r="M442"/>
      <c r="N442"/>
    </row>
    <row r="443" spans="1:14" ht="16" hidden="1">
      <c r="A443" t="s">
        <v>13</v>
      </c>
      <c r="B443" t="s">
        <v>246</v>
      </c>
      <c r="C443" t="s">
        <v>43</v>
      </c>
      <c r="E443" t="s">
        <v>132</v>
      </c>
      <c r="F443" t="s">
        <v>1030</v>
      </c>
      <c r="G443" t="s">
        <v>62</v>
      </c>
      <c r="H443" t="s">
        <v>90</v>
      </c>
      <c r="I443" s="1" t="s">
        <v>91</v>
      </c>
      <c r="J443"/>
      <c r="K443"/>
      <c r="L443"/>
      <c r="M443"/>
      <c r="N443"/>
    </row>
    <row r="444" spans="1:14" ht="64" hidden="1">
      <c r="A444" t="s">
        <v>13</v>
      </c>
      <c r="B444" t="s">
        <v>76</v>
      </c>
      <c r="C444" t="s">
        <v>28</v>
      </c>
      <c r="D444" t="s">
        <v>29</v>
      </c>
      <c r="E444" t="s">
        <v>77</v>
      </c>
      <c r="F444" t="s">
        <v>1031</v>
      </c>
      <c r="G444" t="s">
        <v>19</v>
      </c>
      <c r="H444" t="s">
        <v>145</v>
      </c>
      <c r="I444" s="1" t="s">
        <v>1032</v>
      </c>
      <c r="J444"/>
      <c r="K444"/>
      <c r="L444"/>
      <c r="M444"/>
      <c r="N444"/>
    </row>
    <row r="445" spans="1:14" ht="96">
      <c r="A445" t="s">
        <v>13</v>
      </c>
      <c r="B445" t="s">
        <v>82</v>
      </c>
      <c r="C445" t="s">
        <v>28</v>
      </c>
      <c r="D445" t="s">
        <v>29</v>
      </c>
      <c r="E445" t="s">
        <v>83</v>
      </c>
      <c r="F445" t="s">
        <v>1033</v>
      </c>
      <c r="G445" t="s">
        <v>19</v>
      </c>
      <c r="H445" s="11" t="s">
        <v>85</v>
      </c>
      <c r="I445" s="2" t="s">
        <v>1862</v>
      </c>
      <c r="J445" s="4" t="s">
        <v>39</v>
      </c>
      <c r="K445" s="2" t="s">
        <v>87</v>
      </c>
      <c r="L445" s="2" t="str">
        <f>VLOOKUP(B445,Sheet2!F:Z,12,0)</f>
        <v>重插数据线</v>
      </c>
      <c r="M445" s="2" t="s">
        <v>41</v>
      </c>
      <c r="N445" s="3">
        <v>0</v>
      </c>
    </row>
    <row r="446" spans="1:14" ht="32" hidden="1">
      <c r="A446" t="s">
        <v>13</v>
      </c>
      <c r="B446" t="s">
        <v>662</v>
      </c>
      <c r="C446" t="s">
        <v>148</v>
      </c>
      <c r="D446" t="s">
        <v>149</v>
      </c>
      <c r="E446" t="s">
        <v>150</v>
      </c>
      <c r="F446" t="s">
        <v>658</v>
      </c>
      <c r="G446" t="s">
        <v>32</v>
      </c>
      <c r="H446" t="s">
        <v>152</v>
      </c>
      <c r="I446" s="1" t="s">
        <v>153</v>
      </c>
      <c r="J446"/>
      <c r="K446"/>
      <c r="L446"/>
      <c r="M446"/>
      <c r="N446"/>
    </row>
    <row r="447" spans="1:14" ht="32" hidden="1">
      <c r="A447" t="s">
        <v>13</v>
      </c>
      <c r="B447" t="s">
        <v>1034</v>
      </c>
      <c r="C447" t="s">
        <v>148</v>
      </c>
      <c r="D447" t="s">
        <v>149</v>
      </c>
      <c r="E447" t="s">
        <v>150</v>
      </c>
      <c r="F447" t="s">
        <v>1035</v>
      </c>
      <c r="G447" t="s">
        <v>32</v>
      </c>
      <c r="H447" t="s">
        <v>152</v>
      </c>
      <c r="I447" s="1" t="s">
        <v>153</v>
      </c>
      <c r="J447"/>
      <c r="K447"/>
      <c r="L447"/>
      <c r="M447"/>
      <c r="N447"/>
    </row>
    <row r="448" spans="1:14" ht="32" hidden="1">
      <c r="A448" t="s">
        <v>13</v>
      </c>
      <c r="B448" t="s">
        <v>1036</v>
      </c>
      <c r="C448" t="s">
        <v>148</v>
      </c>
      <c r="D448" t="s">
        <v>149</v>
      </c>
      <c r="E448" t="s">
        <v>150</v>
      </c>
      <c r="F448" t="s">
        <v>1037</v>
      </c>
      <c r="G448" t="s">
        <v>32</v>
      </c>
      <c r="H448" t="s">
        <v>152</v>
      </c>
      <c r="I448" s="1" t="s">
        <v>153</v>
      </c>
      <c r="J448"/>
      <c r="K448"/>
      <c r="L448"/>
      <c r="M448"/>
      <c r="N448"/>
    </row>
    <row r="449" spans="1:14" ht="16" hidden="1">
      <c r="A449" t="s">
        <v>13</v>
      </c>
      <c r="B449" t="s">
        <v>201</v>
      </c>
      <c r="C449" t="s">
        <v>15</v>
      </c>
      <c r="D449" t="s">
        <v>16</v>
      </c>
      <c r="E449" t="s">
        <v>23</v>
      </c>
      <c r="F449" t="s">
        <v>1038</v>
      </c>
      <c r="G449" t="s">
        <v>32</v>
      </c>
      <c r="H449" t="s">
        <v>232</v>
      </c>
      <c r="I449" s="1" t="s">
        <v>1039</v>
      </c>
      <c r="J449"/>
      <c r="K449"/>
      <c r="L449"/>
      <c r="M449"/>
      <c r="N449"/>
    </row>
    <row r="450" spans="1:14" ht="43" customHeight="1">
      <c r="A450" t="s">
        <v>13</v>
      </c>
      <c r="B450" t="s">
        <v>546</v>
      </c>
      <c r="C450" t="s">
        <v>148</v>
      </c>
      <c r="D450" t="s">
        <v>149</v>
      </c>
      <c r="E450" t="s">
        <v>195</v>
      </c>
      <c r="F450" t="s">
        <v>1040</v>
      </c>
      <c r="G450" t="s">
        <v>32</v>
      </c>
      <c r="H450" s="11" t="s">
        <v>152</v>
      </c>
      <c r="I450" s="2" t="s">
        <v>1863</v>
      </c>
      <c r="J450" s="4" t="s">
        <v>39</v>
      </c>
      <c r="K450" s="2" t="s">
        <v>645</v>
      </c>
      <c r="L450" s="2" t="str">
        <f>VLOOKUP(B450,Sheet2!F:Z,12,0)</f>
        <v>更换硬盘</v>
      </c>
      <c r="M450" s="2" t="s">
        <v>99</v>
      </c>
      <c r="N450" s="3">
        <v>0</v>
      </c>
    </row>
    <row r="451" spans="1:14" ht="16" hidden="1">
      <c r="A451" t="s">
        <v>13</v>
      </c>
      <c r="B451" t="s">
        <v>1041</v>
      </c>
      <c r="C451" t="s">
        <v>15</v>
      </c>
      <c r="D451" t="s">
        <v>16</v>
      </c>
      <c r="E451" t="s">
        <v>23</v>
      </c>
      <c r="F451" t="s">
        <v>1042</v>
      </c>
      <c r="G451" t="s">
        <v>32</v>
      </c>
      <c r="H451" t="s">
        <v>232</v>
      </c>
      <c r="I451" s="1" t="s">
        <v>1043</v>
      </c>
      <c r="J451"/>
      <c r="K451"/>
      <c r="L451"/>
      <c r="M451"/>
      <c r="N451"/>
    </row>
    <row r="452" spans="1:14" ht="16" hidden="1">
      <c r="A452" t="s">
        <v>13</v>
      </c>
      <c r="B452" t="s">
        <v>323</v>
      </c>
      <c r="C452" t="s">
        <v>15</v>
      </c>
      <c r="D452" t="s">
        <v>16</v>
      </c>
      <c r="E452" t="s">
        <v>23</v>
      </c>
      <c r="F452" t="s">
        <v>1044</v>
      </c>
      <c r="G452" t="s">
        <v>32</v>
      </c>
      <c r="H452" t="s">
        <v>232</v>
      </c>
      <c r="I452" s="1" t="s">
        <v>325</v>
      </c>
      <c r="J452"/>
      <c r="K452"/>
      <c r="L452"/>
      <c r="M452"/>
      <c r="N452"/>
    </row>
    <row r="453" spans="1:14" ht="16" hidden="1">
      <c r="A453" t="s">
        <v>13</v>
      </c>
      <c r="B453" t="s">
        <v>190</v>
      </c>
      <c r="C453" t="s">
        <v>15</v>
      </c>
      <c r="D453" t="s">
        <v>16</v>
      </c>
      <c r="E453" t="s">
        <v>17</v>
      </c>
      <c r="F453" t="s">
        <v>1045</v>
      </c>
      <c r="G453" t="s">
        <v>32</v>
      </c>
      <c r="H453" t="s">
        <v>192</v>
      </c>
      <c r="I453" s="1" t="s">
        <v>193</v>
      </c>
      <c r="J453"/>
      <c r="K453"/>
      <c r="L453"/>
      <c r="M453"/>
      <c r="N453"/>
    </row>
    <row r="454" spans="1:14" ht="16" hidden="1">
      <c r="A454" t="s">
        <v>13</v>
      </c>
      <c r="B454" t="s">
        <v>14</v>
      </c>
      <c r="C454" t="s">
        <v>15</v>
      </c>
      <c r="D454" t="s">
        <v>16</v>
      </c>
      <c r="E454" t="s">
        <v>17</v>
      </c>
      <c r="F454" t="s">
        <v>1046</v>
      </c>
      <c r="G454" t="s">
        <v>32</v>
      </c>
      <c r="H454" s="11" t="s">
        <v>232</v>
      </c>
      <c r="I454" s="2" t="s">
        <v>325</v>
      </c>
      <c r="J454" s="4" t="s">
        <v>39</v>
      </c>
      <c r="K454" s="2" t="s">
        <v>1864</v>
      </c>
      <c r="L454" s="2" t="str">
        <f>VLOOKUP(B454,Sheet2!F:Z,12,0)</f>
        <v>重插信号线</v>
      </c>
      <c r="M454" s="2" t="s">
        <v>41</v>
      </c>
    </row>
    <row r="455" spans="1:14" ht="64" hidden="1">
      <c r="A455" t="s">
        <v>13</v>
      </c>
      <c r="B455" t="s">
        <v>1047</v>
      </c>
      <c r="C455" t="s">
        <v>28</v>
      </c>
      <c r="D455" t="s">
        <v>29</v>
      </c>
      <c r="E455" t="s">
        <v>60</v>
      </c>
      <c r="F455" t="s">
        <v>1048</v>
      </c>
      <c r="G455" t="s">
        <v>19</v>
      </c>
      <c r="H455" t="s">
        <v>145</v>
      </c>
      <c r="I455" s="1" t="s">
        <v>1049</v>
      </c>
      <c r="J455"/>
      <c r="K455"/>
      <c r="L455"/>
      <c r="M455"/>
      <c r="N455"/>
    </row>
  </sheetData>
  <autoFilter ref="A1:O455" xr:uid="{00000000-0001-0000-0000-000000000000}">
    <filterColumn colId="9">
      <customFilters>
        <customFilter operator="notEqual" val=" "/>
      </customFilters>
    </filterColumn>
    <filterColumn colId="13">
      <customFilters>
        <customFilter operator="notEqual" val=" "/>
      </customFilters>
    </filterColumn>
  </autoFilter>
  <phoneticPr fontId="1" type="noConversion"/>
  <pageMargins left="0.7" right="0.7" top="0.75" bottom="0.75" header="0.3" footer="0.3"/>
  <ignoredErrors>
    <ignoredError sqref="A3:H3 A10:H10 A16:G16 M1:O40 J16:K16 A17:K18 J10:K10 A11:K15 J3:K3 A4:K9 A2:K2 A1:G1 I1:K1 A20:K40 A19:H19 J19:K19 A42:K56 A41:H41 J41:K41 M42:O64 M41 O41 A58:K66 A57:H57 J57:K57 M66:O66 M65 O65 A68:K75 A67:H67 J67:K67 M68:O71 M67 O67 M73:O75 M72 O72 A77:K89 A76:H76 J76:K76 M77:O115 M76 O76 M117:O118 M116 O116 M120:O126 M119 O119 A91:K121 A90:H90 J90:K90 A123:K126 A122:H122 J122:K122 A129:K138 A127:H127 J127:K127 A128:H128 J128:K128 A140:K140 A139:H139 J139:K139 A144:K173 A141:H141 J141:K141 M128:O138 M127 O127 M140:O140 M139 O139 M144:O167 M141 O141 A142:H142 J142:K142 M142 O142 M143 O143 A143:H143 J143:K143 M169:O173 M168 O168 M176:O180 M175 O175 A175:K190 A174:H174 J174:K174 M174 O174 M182:O190 M181 O181 A192:K200 A191:J191 M192:O200 M191 O191 M202:O208 M201 O201 A202:K217 A201:H201 J201:K201 M210:O210 M209 O209 M212:O213 M211 O211 M215:O217 M214 O214 A219:K224 A218:H218 J218:K218 M219:O228 M218 O218 A226:K228 A225:H225 J225:K225 A230:K243 A229:H229 J229:K229 M230:O243 M229 O229 A245:K327 A244:H244 J244:K244 M245:O258 M244 O244 M261:O294 M259 O259 M260 O260 M296:O327 M295 O295 A329:K337 A328:H328 J328:K328 M329:O339 M328 O328 A339:K341 A338:H338 J338:K338 M341:O341 M340 O340 A343:K347 A342:H342 J342:K342 A349:K369 A348:H348 J348:K348 M343:O347 M342 O342 M349:O349 M348 O348 M351:O353 M350 O350 M355:O373 M354 O354 A371:K373 A370:H370 J370:K370 A375:K379 A374:H374 J374:K374 M375:O392 M374 O374 A381:K397 A380:H380 J380:K380 M394:O397 M393 O393 A399:K399 A398:H398 J398:K398 A401:K407 A400:H400 J400:K400 M399:O399 M398 O398 M401:O433 M400 O400 A409:K410 A408:H408 J408:K408 A412:K433 A411:H411 J411:K411 A435:K444 A434:H434 J434:K434 M435:O444 M434 O434 A446:K449 A445:H445 J445:K445 M446:O449 M445 O445 A451:K453 A450:H450 J450:K450 M451:O455 M450 O450 A455:K455 A454:J45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DF440-C66D-B047-B288-44171E5DF92E}">
  <dimension ref="A1:N41"/>
  <sheetViews>
    <sheetView tabSelected="1" workbookViewId="0">
      <selection activeCell="H7" sqref="H7"/>
    </sheetView>
  </sheetViews>
  <sheetFormatPr baseColWidth="10" defaultRowHeight="15"/>
  <cols>
    <col min="8" max="8" width="48" customWidth="1"/>
    <col min="9" max="9" width="93.5" customWidth="1"/>
    <col min="10" max="10" width="51.33203125" customWidth="1"/>
    <col min="11" max="11" width="15.1640625" customWidth="1"/>
    <col min="12" max="12" width="20.33203125" customWidth="1"/>
  </cols>
  <sheetData>
    <row r="1" spans="1:14" ht="18">
      <c r="A1" s="13" t="s">
        <v>0</v>
      </c>
      <c r="B1" s="13" t="s">
        <v>1</v>
      </c>
      <c r="C1" s="13" t="s">
        <v>2</v>
      </c>
      <c r="D1" s="13" t="s">
        <v>3</v>
      </c>
      <c r="E1" s="13" t="s">
        <v>4</v>
      </c>
      <c r="F1" s="13" t="s">
        <v>5</v>
      </c>
      <c r="G1" s="13" t="s">
        <v>6</v>
      </c>
      <c r="H1" s="13" t="s">
        <v>1836</v>
      </c>
      <c r="I1" s="14" t="s">
        <v>7</v>
      </c>
      <c r="J1" s="14" t="s">
        <v>9</v>
      </c>
      <c r="K1" s="14" t="s">
        <v>1835</v>
      </c>
      <c r="L1" s="14" t="s">
        <v>1865</v>
      </c>
      <c r="M1" s="13" t="s">
        <v>11</v>
      </c>
      <c r="N1" s="13" t="s">
        <v>12</v>
      </c>
    </row>
    <row r="2" spans="1:14" ht="126">
      <c r="A2" s="15" t="s">
        <v>13</v>
      </c>
      <c r="B2" s="15" t="s">
        <v>82</v>
      </c>
      <c r="C2" s="15" t="s">
        <v>28</v>
      </c>
      <c r="D2" s="15" t="s">
        <v>29</v>
      </c>
      <c r="E2" s="15" t="s">
        <v>83</v>
      </c>
      <c r="F2" s="15" t="s">
        <v>173</v>
      </c>
      <c r="G2" s="15" t="s">
        <v>19</v>
      </c>
      <c r="H2" s="15" t="s">
        <v>85</v>
      </c>
      <c r="I2" s="16" t="s">
        <v>1839</v>
      </c>
      <c r="J2" s="16" t="s">
        <v>87</v>
      </c>
      <c r="K2" s="16" t="s">
        <v>1305</v>
      </c>
      <c r="L2" s="16" t="s">
        <v>41</v>
      </c>
      <c r="M2" s="15">
        <v>0</v>
      </c>
      <c r="N2" s="15"/>
    </row>
    <row r="3" spans="1:14" ht="108">
      <c r="A3" s="15" t="s">
        <v>13</v>
      </c>
      <c r="B3" s="15" t="s">
        <v>252</v>
      </c>
      <c r="C3" s="15" t="s">
        <v>28</v>
      </c>
      <c r="D3" s="15" t="s">
        <v>29</v>
      </c>
      <c r="E3" s="15" t="s">
        <v>132</v>
      </c>
      <c r="F3" s="15" t="s">
        <v>253</v>
      </c>
      <c r="G3" s="15" t="s">
        <v>32</v>
      </c>
      <c r="H3" s="15" t="s">
        <v>33</v>
      </c>
      <c r="I3" s="16" t="s">
        <v>38</v>
      </c>
      <c r="J3" s="16" t="s">
        <v>254</v>
      </c>
      <c r="K3" s="16" t="s">
        <v>1207</v>
      </c>
      <c r="L3" s="16" t="s">
        <v>99</v>
      </c>
      <c r="M3" s="15">
        <v>0</v>
      </c>
      <c r="N3" s="15"/>
    </row>
    <row r="4" spans="1:14" ht="108">
      <c r="A4" s="15" t="s">
        <v>13</v>
      </c>
      <c r="B4" s="15" t="s">
        <v>234</v>
      </c>
      <c r="C4" s="15" t="s">
        <v>43</v>
      </c>
      <c r="D4" s="15" t="s">
        <v>44</v>
      </c>
      <c r="E4" s="15" t="s">
        <v>45</v>
      </c>
      <c r="F4" s="15" t="s">
        <v>258</v>
      </c>
      <c r="G4" s="15" t="s">
        <v>19</v>
      </c>
      <c r="H4" s="15" t="s">
        <v>259</v>
      </c>
      <c r="I4" s="16" t="s">
        <v>1841</v>
      </c>
      <c r="J4" s="16" t="s">
        <v>237</v>
      </c>
      <c r="K4" s="16" t="s">
        <v>1409</v>
      </c>
      <c r="L4" s="16" t="s">
        <v>41</v>
      </c>
      <c r="M4" s="15">
        <v>0</v>
      </c>
      <c r="N4" s="15"/>
    </row>
    <row r="5" spans="1:14" ht="72">
      <c r="A5" s="15" t="s">
        <v>13</v>
      </c>
      <c r="B5" s="15" t="s">
        <v>171</v>
      </c>
      <c r="C5" s="15" t="s">
        <v>28</v>
      </c>
      <c r="D5" s="15" t="s">
        <v>29</v>
      </c>
      <c r="E5" s="15" t="s">
        <v>60</v>
      </c>
      <c r="F5" s="15" t="s">
        <v>272</v>
      </c>
      <c r="G5" s="15" t="s">
        <v>32</v>
      </c>
      <c r="H5" s="15" t="s">
        <v>33</v>
      </c>
      <c r="I5" s="16" t="s">
        <v>273</v>
      </c>
      <c r="J5" s="16" t="s">
        <v>274</v>
      </c>
      <c r="K5" s="16" t="s">
        <v>1269</v>
      </c>
      <c r="L5" s="16" t="s">
        <v>99</v>
      </c>
      <c r="M5" s="15">
        <v>0</v>
      </c>
      <c r="N5" s="15"/>
    </row>
    <row r="6" spans="1:14" ht="108">
      <c r="A6" s="15" t="s">
        <v>13</v>
      </c>
      <c r="B6" s="15" t="s">
        <v>281</v>
      </c>
      <c r="C6" s="15" t="s">
        <v>28</v>
      </c>
      <c r="D6" s="15" t="s">
        <v>29</v>
      </c>
      <c r="E6" s="15" t="s">
        <v>265</v>
      </c>
      <c r="F6" s="15" t="s">
        <v>282</v>
      </c>
      <c r="G6" s="15" t="s">
        <v>32</v>
      </c>
      <c r="H6" s="15" t="s">
        <v>33</v>
      </c>
      <c r="I6" s="16" t="s">
        <v>1842</v>
      </c>
      <c r="J6" s="16" t="s">
        <v>254</v>
      </c>
      <c r="K6" s="16" t="s">
        <v>1348</v>
      </c>
      <c r="L6" s="16" t="s">
        <v>99</v>
      </c>
      <c r="M6" s="15">
        <v>0</v>
      </c>
      <c r="N6" s="15"/>
    </row>
    <row r="7" spans="1:14" ht="126">
      <c r="A7" s="15" t="s">
        <v>13</v>
      </c>
      <c r="B7" s="15" t="s">
        <v>59</v>
      </c>
      <c r="C7" s="15" t="s">
        <v>28</v>
      </c>
      <c r="D7" s="15" t="s">
        <v>29</v>
      </c>
      <c r="E7" s="15" t="s">
        <v>60</v>
      </c>
      <c r="F7" s="15" t="s">
        <v>372</v>
      </c>
      <c r="G7" s="15" t="s">
        <v>19</v>
      </c>
      <c r="H7" s="15" t="s">
        <v>141</v>
      </c>
      <c r="I7" s="16" t="s">
        <v>373</v>
      </c>
      <c r="J7" s="16" t="s">
        <v>374</v>
      </c>
      <c r="K7" s="16" t="s">
        <v>1313</v>
      </c>
      <c r="L7" s="16" t="s">
        <v>41</v>
      </c>
      <c r="M7" s="15">
        <v>0</v>
      </c>
      <c r="N7" s="15"/>
    </row>
    <row r="8" spans="1:14" ht="126">
      <c r="A8" s="15" t="s">
        <v>13</v>
      </c>
      <c r="B8" s="15" t="s">
        <v>107</v>
      </c>
      <c r="C8" s="15" t="s">
        <v>28</v>
      </c>
      <c r="D8" s="15" t="s">
        <v>29</v>
      </c>
      <c r="E8" s="15" t="s">
        <v>83</v>
      </c>
      <c r="F8" s="15" t="s">
        <v>381</v>
      </c>
      <c r="G8" s="15" t="s">
        <v>19</v>
      </c>
      <c r="H8" s="15" t="s">
        <v>109</v>
      </c>
      <c r="I8" s="16" t="s">
        <v>382</v>
      </c>
      <c r="J8" s="16" t="s">
        <v>383</v>
      </c>
      <c r="K8" s="16" t="s">
        <v>1313</v>
      </c>
      <c r="L8" s="16" t="s">
        <v>41</v>
      </c>
      <c r="M8" s="15">
        <v>0</v>
      </c>
      <c r="N8" s="15"/>
    </row>
    <row r="9" spans="1:14" ht="108">
      <c r="A9" s="15" t="s">
        <v>13</v>
      </c>
      <c r="B9" s="15" t="s">
        <v>252</v>
      </c>
      <c r="C9" s="15" t="s">
        <v>28</v>
      </c>
      <c r="D9" s="15" t="s">
        <v>29</v>
      </c>
      <c r="E9" s="15" t="s">
        <v>132</v>
      </c>
      <c r="F9" s="15" t="s">
        <v>400</v>
      </c>
      <c r="G9" s="15" t="s">
        <v>32</v>
      </c>
      <c r="H9" s="15" t="s">
        <v>33</v>
      </c>
      <c r="I9" s="16" t="s">
        <v>1842</v>
      </c>
      <c r="J9" s="16" t="s">
        <v>254</v>
      </c>
      <c r="K9" s="16" t="s">
        <v>1207</v>
      </c>
      <c r="L9" s="16" t="s">
        <v>99</v>
      </c>
      <c r="M9" s="17">
        <v>0</v>
      </c>
      <c r="N9" s="15"/>
    </row>
    <row r="10" spans="1:14" ht="126">
      <c r="A10" s="15" t="s">
        <v>13</v>
      </c>
      <c r="B10" s="15" t="s">
        <v>308</v>
      </c>
      <c r="C10" s="15" t="s">
        <v>28</v>
      </c>
      <c r="D10" s="15" t="s">
        <v>29</v>
      </c>
      <c r="E10" s="15" t="s">
        <v>30</v>
      </c>
      <c r="F10" s="15" t="s">
        <v>428</v>
      </c>
      <c r="G10" s="15" t="s">
        <v>19</v>
      </c>
      <c r="H10" s="15" t="s">
        <v>145</v>
      </c>
      <c r="I10" s="16" t="s">
        <v>1846</v>
      </c>
      <c r="J10" s="16" t="s">
        <v>430</v>
      </c>
      <c r="K10" s="16" t="s">
        <v>1254</v>
      </c>
      <c r="L10" s="16" t="s">
        <v>99</v>
      </c>
      <c r="M10" s="17">
        <v>0</v>
      </c>
      <c r="N10" s="15"/>
    </row>
    <row r="11" spans="1:14" ht="108">
      <c r="A11" s="15" t="s">
        <v>13</v>
      </c>
      <c r="B11" s="15" t="s">
        <v>73</v>
      </c>
      <c r="C11" s="15" t="s">
        <v>28</v>
      </c>
      <c r="D11" s="15" t="s">
        <v>29</v>
      </c>
      <c r="E11" s="15" t="s">
        <v>70</v>
      </c>
      <c r="F11" s="15" t="s">
        <v>433</v>
      </c>
      <c r="G11" s="15" t="s">
        <v>32</v>
      </c>
      <c r="H11" s="15" t="s">
        <v>67</v>
      </c>
      <c r="I11" s="16" t="s">
        <v>1847</v>
      </c>
      <c r="J11" s="16" t="s">
        <v>435</v>
      </c>
      <c r="K11" s="16" t="s">
        <v>1231</v>
      </c>
      <c r="L11" s="16" t="s">
        <v>99</v>
      </c>
      <c r="M11" s="17">
        <v>0</v>
      </c>
      <c r="N11" s="15"/>
    </row>
    <row r="12" spans="1:14" ht="108">
      <c r="A12" s="15" t="s">
        <v>13</v>
      </c>
      <c r="B12" s="15" t="s">
        <v>73</v>
      </c>
      <c r="C12" s="15" t="s">
        <v>28</v>
      </c>
      <c r="D12" s="15" t="s">
        <v>29</v>
      </c>
      <c r="E12" s="15" t="s">
        <v>70</v>
      </c>
      <c r="F12" s="15" t="s">
        <v>436</v>
      </c>
      <c r="G12" s="15" t="s">
        <v>32</v>
      </c>
      <c r="H12" s="15" t="s">
        <v>67</v>
      </c>
      <c r="I12" s="16" t="s">
        <v>1847</v>
      </c>
      <c r="J12" s="16" t="s">
        <v>435</v>
      </c>
      <c r="K12" s="16" t="s">
        <v>1231</v>
      </c>
      <c r="L12" s="16" t="s">
        <v>99</v>
      </c>
      <c r="M12" s="17">
        <v>0</v>
      </c>
      <c r="N12" s="15"/>
    </row>
    <row r="13" spans="1:14" ht="108">
      <c r="A13" s="15" t="s">
        <v>13</v>
      </c>
      <c r="B13" s="15" t="s">
        <v>73</v>
      </c>
      <c r="C13" s="15" t="s">
        <v>28</v>
      </c>
      <c r="D13" s="15" t="s">
        <v>29</v>
      </c>
      <c r="E13" s="15" t="s">
        <v>70</v>
      </c>
      <c r="F13" s="15" t="s">
        <v>437</v>
      </c>
      <c r="G13" s="15" t="s">
        <v>32</v>
      </c>
      <c r="H13" s="15" t="s">
        <v>67</v>
      </c>
      <c r="I13" s="16" t="s">
        <v>1847</v>
      </c>
      <c r="J13" s="16" t="s">
        <v>435</v>
      </c>
      <c r="K13" s="16" t="s">
        <v>1231</v>
      </c>
      <c r="L13" s="16" t="s">
        <v>99</v>
      </c>
      <c r="M13" s="17">
        <v>0</v>
      </c>
      <c r="N13" s="15"/>
    </row>
    <row r="14" spans="1:14" ht="36">
      <c r="A14" s="15" t="s">
        <v>13</v>
      </c>
      <c r="B14" s="15" t="s">
        <v>499</v>
      </c>
      <c r="C14" s="15" t="s">
        <v>222</v>
      </c>
      <c r="D14" s="15" t="s">
        <v>223</v>
      </c>
      <c r="E14" s="15" t="s">
        <v>224</v>
      </c>
      <c r="F14" s="15" t="s">
        <v>500</v>
      </c>
      <c r="G14" s="15" t="s">
        <v>19</v>
      </c>
      <c r="H14" s="15" t="s">
        <v>501</v>
      </c>
      <c r="I14" s="16" t="s">
        <v>502</v>
      </c>
      <c r="J14" s="16" t="s">
        <v>503</v>
      </c>
      <c r="K14" s="16" t="s">
        <v>1284</v>
      </c>
      <c r="L14" s="16" t="s">
        <v>41</v>
      </c>
      <c r="M14" s="17">
        <v>0</v>
      </c>
      <c r="N14" s="15"/>
    </row>
    <row r="15" spans="1:14" ht="126">
      <c r="A15" s="15" t="s">
        <v>13</v>
      </c>
      <c r="B15" s="15" t="s">
        <v>516</v>
      </c>
      <c r="C15" s="15" t="s">
        <v>122</v>
      </c>
      <c r="D15" s="15" t="s">
        <v>123</v>
      </c>
      <c r="E15" s="15" t="s">
        <v>124</v>
      </c>
      <c r="F15" s="15" t="s">
        <v>517</v>
      </c>
      <c r="G15" s="15" t="s">
        <v>32</v>
      </c>
      <c r="H15" s="15" t="s">
        <v>152</v>
      </c>
      <c r="I15" s="16" t="s">
        <v>1848</v>
      </c>
      <c r="J15" s="16" t="s">
        <v>519</v>
      </c>
      <c r="K15" s="16" t="s">
        <v>1305</v>
      </c>
      <c r="L15" s="16" t="s">
        <v>41</v>
      </c>
      <c r="M15" s="17">
        <v>0</v>
      </c>
      <c r="N15" s="15"/>
    </row>
    <row r="16" spans="1:14" ht="108">
      <c r="A16" s="15" t="s">
        <v>13</v>
      </c>
      <c r="B16" s="15" t="s">
        <v>252</v>
      </c>
      <c r="C16" s="15" t="s">
        <v>28</v>
      </c>
      <c r="D16" s="15" t="s">
        <v>29</v>
      </c>
      <c r="E16" s="15" t="s">
        <v>132</v>
      </c>
      <c r="F16" s="15" t="s">
        <v>520</v>
      </c>
      <c r="G16" s="15" t="s">
        <v>32</v>
      </c>
      <c r="H16" s="15" t="s">
        <v>33</v>
      </c>
      <c r="I16" s="16" t="s">
        <v>38</v>
      </c>
      <c r="J16" s="16" t="s">
        <v>254</v>
      </c>
      <c r="K16" s="16" t="s">
        <v>1207</v>
      </c>
      <c r="L16" s="16" t="s">
        <v>99</v>
      </c>
      <c r="M16" s="17">
        <v>0</v>
      </c>
      <c r="N16" s="15"/>
    </row>
    <row r="17" spans="1:14" ht="54">
      <c r="A17" s="15" t="s">
        <v>13</v>
      </c>
      <c r="B17" s="15" t="s">
        <v>499</v>
      </c>
      <c r="C17" s="15" t="s">
        <v>222</v>
      </c>
      <c r="D17" s="15" t="s">
        <v>223</v>
      </c>
      <c r="E17" s="15" t="s">
        <v>224</v>
      </c>
      <c r="F17" s="15" t="s">
        <v>532</v>
      </c>
      <c r="G17" s="15" t="s">
        <v>19</v>
      </c>
      <c r="H17" s="15" t="s">
        <v>501</v>
      </c>
      <c r="I17" s="16" t="s">
        <v>533</v>
      </c>
      <c r="J17" s="16" t="s">
        <v>503</v>
      </c>
      <c r="K17" s="16" t="s">
        <v>1284</v>
      </c>
      <c r="L17" s="16" t="s">
        <v>41</v>
      </c>
      <c r="M17" s="17">
        <v>0</v>
      </c>
      <c r="N17" s="15"/>
    </row>
    <row r="18" spans="1:14" ht="108">
      <c r="A18" s="15" t="s">
        <v>13</v>
      </c>
      <c r="B18" s="15" t="s">
        <v>35</v>
      </c>
      <c r="C18" s="15" t="s">
        <v>28</v>
      </c>
      <c r="D18" s="15" t="s">
        <v>29</v>
      </c>
      <c r="E18" s="15" t="s">
        <v>36</v>
      </c>
      <c r="F18" s="15" t="s">
        <v>561</v>
      </c>
      <c r="G18" s="15" t="s">
        <v>32</v>
      </c>
      <c r="H18" s="15" t="s">
        <v>33</v>
      </c>
      <c r="I18" s="16" t="s">
        <v>38</v>
      </c>
      <c r="J18" s="16" t="s">
        <v>1849</v>
      </c>
      <c r="K18" s="16" t="s">
        <v>1246</v>
      </c>
      <c r="L18" s="16" t="s">
        <v>41</v>
      </c>
      <c r="M18" s="17">
        <v>0</v>
      </c>
      <c r="N18" s="15"/>
    </row>
    <row r="19" spans="1:14" ht="126">
      <c r="A19" s="15" t="s">
        <v>13</v>
      </c>
      <c r="B19" s="15" t="s">
        <v>579</v>
      </c>
      <c r="C19" s="15" t="s">
        <v>148</v>
      </c>
      <c r="D19" s="15" t="s">
        <v>149</v>
      </c>
      <c r="E19" s="15" t="s">
        <v>195</v>
      </c>
      <c r="F19" s="15" t="s">
        <v>580</v>
      </c>
      <c r="G19" s="15" t="s">
        <v>32</v>
      </c>
      <c r="H19" s="15" t="s">
        <v>67</v>
      </c>
      <c r="I19" s="16" t="s">
        <v>1850</v>
      </c>
      <c r="J19" s="16" t="s">
        <v>581</v>
      </c>
      <c r="K19" s="16" t="s">
        <v>1437</v>
      </c>
      <c r="L19" s="16" t="s">
        <v>99</v>
      </c>
      <c r="M19" s="17">
        <v>0</v>
      </c>
      <c r="N19" s="15"/>
    </row>
    <row r="20" spans="1:14" ht="108">
      <c r="A20" s="15" t="s">
        <v>13</v>
      </c>
      <c r="B20" s="15" t="s">
        <v>598</v>
      </c>
      <c r="C20" s="15" t="s">
        <v>43</v>
      </c>
      <c r="D20" s="15" t="s">
        <v>44</v>
      </c>
      <c r="E20" s="15" t="s">
        <v>45</v>
      </c>
      <c r="F20" s="15" t="s">
        <v>599</v>
      </c>
      <c r="G20" s="15" t="s">
        <v>32</v>
      </c>
      <c r="H20" s="15" t="s">
        <v>152</v>
      </c>
      <c r="I20" s="16" t="s">
        <v>600</v>
      </c>
      <c r="J20" s="16" t="s">
        <v>601</v>
      </c>
      <c r="K20" s="16" t="s">
        <v>1254</v>
      </c>
      <c r="L20" s="16" t="s">
        <v>99</v>
      </c>
      <c r="M20" s="17">
        <v>0</v>
      </c>
      <c r="N20" s="15"/>
    </row>
    <row r="21" spans="1:14" ht="108">
      <c r="A21" s="15" t="s">
        <v>13</v>
      </c>
      <c r="B21" s="15" t="s">
        <v>35</v>
      </c>
      <c r="C21" s="15" t="s">
        <v>28</v>
      </c>
      <c r="D21" s="15" t="s">
        <v>29</v>
      </c>
      <c r="E21" s="15" t="s">
        <v>36</v>
      </c>
      <c r="F21" s="15" t="s">
        <v>604</v>
      </c>
      <c r="G21" s="15" t="s">
        <v>32</v>
      </c>
      <c r="H21" s="15" t="s">
        <v>33</v>
      </c>
      <c r="I21" s="16" t="s">
        <v>38</v>
      </c>
      <c r="J21" s="16" t="s">
        <v>40</v>
      </c>
      <c r="K21" s="16" t="s">
        <v>1246</v>
      </c>
      <c r="L21" s="16" t="s">
        <v>41</v>
      </c>
      <c r="M21" s="17">
        <v>0</v>
      </c>
      <c r="N21" s="15"/>
    </row>
    <row r="22" spans="1:14" ht="108">
      <c r="A22" s="15" t="s">
        <v>13</v>
      </c>
      <c r="B22" s="15" t="s">
        <v>182</v>
      </c>
      <c r="C22" s="15" t="s">
        <v>43</v>
      </c>
      <c r="D22" s="15" t="s">
        <v>44</v>
      </c>
      <c r="E22" s="15" t="s">
        <v>183</v>
      </c>
      <c r="F22" s="15" t="s">
        <v>609</v>
      </c>
      <c r="G22" s="15" t="s">
        <v>32</v>
      </c>
      <c r="H22" s="15" t="s">
        <v>152</v>
      </c>
      <c r="I22" s="16" t="s">
        <v>610</v>
      </c>
      <c r="J22" s="16" t="s">
        <v>611</v>
      </c>
      <c r="K22" s="16" t="s">
        <v>1383</v>
      </c>
      <c r="L22" s="16" t="s">
        <v>99</v>
      </c>
      <c r="M22" s="17">
        <v>0</v>
      </c>
      <c r="N22" s="15"/>
    </row>
    <row r="23" spans="1:14" ht="126">
      <c r="A23" s="15" t="s">
        <v>13</v>
      </c>
      <c r="B23" s="15" t="s">
        <v>618</v>
      </c>
      <c r="C23" s="15" t="s">
        <v>28</v>
      </c>
      <c r="D23" s="15" t="s">
        <v>29</v>
      </c>
      <c r="E23" s="15" t="s">
        <v>36</v>
      </c>
      <c r="F23" s="15" t="s">
        <v>619</v>
      </c>
      <c r="G23" s="15" t="s">
        <v>32</v>
      </c>
      <c r="H23" s="15" t="s">
        <v>33</v>
      </c>
      <c r="I23" s="16" t="s">
        <v>1851</v>
      </c>
      <c r="J23" s="16" t="s">
        <v>621</v>
      </c>
      <c r="K23" s="16" t="s">
        <v>1254</v>
      </c>
      <c r="L23" s="16" t="s">
        <v>99</v>
      </c>
      <c r="M23" s="17">
        <v>0</v>
      </c>
      <c r="N23" s="15"/>
    </row>
    <row r="24" spans="1:14" ht="72">
      <c r="A24" s="15" t="s">
        <v>13</v>
      </c>
      <c r="B24" s="15" t="s">
        <v>546</v>
      </c>
      <c r="C24" s="15" t="s">
        <v>148</v>
      </c>
      <c r="D24" s="15" t="s">
        <v>149</v>
      </c>
      <c r="E24" s="15" t="s">
        <v>195</v>
      </c>
      <c r="F24" s="15" t="s">
        <v>644</v>
      </c>
      <c r="G24" s="15" t="s">
        <v>32</v>
      </c>
      <c r="H24" s="15" t="s">
        <v>67</v>
      </c>
      <c r="I24" s="16" t="s">
        <v>1853</v>
      </c>
      <c r="J24" s="16" t="s">
        <v>645</v>
      </c>
      <c r="K24" s="16" t="s">
        <v>1409</v>
      </c>
      <c r="L24" s="16" t="s">
        <v>99</v>
      </c>
      <c r="M24" s="17">
        <v>0</v>
      </c>
      <c r="N24" s="15"/>
    </row>
    <row r="25" spans="1:14" ht="126">
      <c r="A25" s="15" t="s">
        <v>13</v>
      </c>
      <c r="B25" s="15" t="s">
        <v>207</v>
      </c>
      <c r="C25" s="15" t="s">
        <v>148</v>
      </c>
      <c r="D25" s="15" t="s">
        <v>149</v>
      </c>
      <c r="E25" s="15" t="s">
        <v>208</v>
      </c>
      <c r="F25" s="15" t="s">
        <v>669</v>
      </c>
      <c r="G25" s="15" t="s">
        <v>19</v>
      </c>
      <c r="H25" s="15" t="s">
        <v>197</v>
      </c>
      <c r="I25" s="16" t="s">
        <v>1854</v>
      </c>
      <c r="J25" s="16" t="s">
        <v>671</v>
      </c>
      <c r="K25" s="16" t="s">
        <v>1254</v>
      </c>
      <c r="L25" s="16" t="s">
        <v>99</v>
      </c>
      <c r="M25" s="17">
        <v>0</v>
      </c>
      <c r="N25" s="15"/>
    </row>
    <row r="26" spans="1:14" ht="36">
      <c r="A26" s="15" t="s">
        <v>13</v>
      </c>
      <c r="B26" s="15" t="s">
        <v>694</v>
      </c>
      <c r="C26" s="15" t="s">
        <v>148</v>
      </c>
      <c r="D26" s="15" t="s">
        <v>149</v>
      </c>
      <c r="E26" s="15" t="s">
        <v>195</v>
      </c>
      <c r="F26" s="15" t="s">
        <v>695</v>
      </c>
      <c r="G26" s="15" t="s">
        <v>19</v>
      </c>
      <c r="H26" s="15" t="s">
        <v>109</v>
      </c>
      <c r="I26" s="16" t="s">
        <v>696</v>
      </c>
      <c r="J26" s="16" t="s">
        <v>697</v>
      </c>
      <c r="K26" s="16" t="s">
        <v>1478</v>
      </c>
      <c r="L26" s="16" t="s">
        <v>99</v>
      </c>
      <c r="M26" s="15">
        <v>0</v>
      </c>
      <c r="N26" s="15"/>
    </row>
    <row r="27" spans="1:14" ht="108">
      <c r="A27" s="15" t="s">
        <v>13</v>
      </c>
      <c r="B27" s="15" t="s">
        <v>35</v>
      </c>
      <c r="C27" s="15" t="s">
        <v>28</v>
      </c>
      <c r="D27" s="15" t="s">
        <v>29</v>
      </c>
      <c r="E27" s="15" t="s">
        <v>36</v>
      </c>
      <c r="F27" s="15" t="s">
        <v>698</v>
      </c>
      <c r="G27" s="15" t="s">
        <v>32</v>
      </c>
      <c r="H27" s="15" t="s">
        <v>33</v>
      </c>
      <c r="I27" s="16" t="s">
        <v>38</v>
      </c>
      <c r="J27" s="16" t="s">
        <v>40</v>
      </c>
      <c r="K27" s="16" t="s">
        <v>1246</v>
      </c>
      <c r="L27" s="16" t="s">
        <v>41</v>
      </c>
      <c r="M27" s="15">
        <v>0</v>
      </c>
      <c r="N27" s="15"/>
    </row>
    <row r="28" spans="1:14" ht="108">
      <c r="A28" s="15" t="s">
        <v>13</v>
      </c>
      <c r="B28" s="15" t="s">
        <v>35</v>
      </c>
      <c r="C28" s="15" t="s">
        <v>28</v>
      </c>
      <c r="D28" s="15" t="s">
        <v>29</v>
      </c>
      <c r="E28" s="15" t="s">
        <v>36</v>
      </c>
      <c r="F28" s="15" t="s">
        <v>765</v>
      </c>
      <c r="G28" s="15" t="s">
        <v>32</v>
      </c>
      <c r="H28" s="15" t="s">
        <v>33</v>
      </c>
      <c r="I28" s="16" t="s">
        <v>38</v>
      </c>
      <c r="J28" s="16" t="s">
        <v>40</v>
      </c>
      <c r="K28" s="16" t="s">
        <v>1246</v>
      </c>
      <c r="L28" s="16" t="s">
        <v>41</v>
      </c>
      <c r="M28" s="15">
        <v>0</v>
      </c>
      <c r="N28" s="15"/>
    </row>
    <row r="29" spans="1:14" ht="126">
      <c r="A29" s="15" t="s">
        <v>13</v>
      </c>
      <c r="B29" s="15" t="s">
        <v>82</v>
      </c>
      <c r="C29" s="15" t="s">
        <v>28</v>
      </c>
      <c r="D29" s="15" t="s">
        <v>29</v>
      </c>
      <c r="E29" s="15" t="s">
        <v>83</v>
      </c>
      <c r="F29" s="15" t="s">
        <v>830</v>
      </c>
      <c r="G29" s="15" t="s">
        <v>19</v>
      </c>
      <c r="H29" s="15" t="s">
        <v>85</v>
      </c>
      <c r="I29" s="16" t="s">
        <v>1855</v>
      </c>
      <c r="J29" s="16" t="s">
        <v>87</v>
      </c>
      <c r="K29" s="16" t="s">
        <v>1305</v>
      </c>
      <c r="L29" s="16" t="s">
        <v>41</v>
      </c>
      <c r="M29" s="15">
        <v>0</v>
      </c>
      <c r="N29" s="15"/>
    </row>
    <row r="30" spans="1:14" ht="126">
      <c r="A30" s="15" t="s">
        <v>13</v>
      </c>
      <c r="B30" s="15" t="s">
        <v>59</v>
      </c>
      <c r="C30" s="15" t="s">
        <v>28</v>
      </c>
      <c r="D30" s="15" t="s">
        <v>29</v>
      </c>
      <c r="E30" s="15" t="s">
        <v>60</v>
      </c>
      <c r="F30" s="15" t="s">
        <v>854</v>
      </c>
      <c r="G30" s="15" t="s">
        <v>19</v>
      </c>
      <c r="H30" s="15" t="s">
        <v>63</v>
      </c>
      <c r="I30" s="16" t="s">
        <v>855</v>
      </c>
      <c r="J30" s="16" t="s">
        <v>374</v>
      </c>
      <c r="K30" s="16" t="s">
        <v>1313</v>
      </c>
      <c r="L30" s="16" t="s">
        <v>41</v>
      </c>
      <c r="M30" s="15">
        <v>0</v>
      </c>
      <c r="N30" s="15"/>
    </row>
    <row r="31" spans="1:14" ht="126">
      <c r="A31" s="15" t="s">
        <v>13</v>
      </c>
      <c r="B31" s="15" t="s">
        <v>221</v>
      </c>
      <c r="C31" s="15" t="s">
        <v>222</v>
      </c>
      <c r="D31" s="15" t="s">
        <v>223</v>
      </c>
      <c r="E31" s="15" t="s">
        <v>224</v>
      </c>
      <c r="F31" s="15" t="s">
        <v>858</v>
      </c>
      <c r="G31" s="15" t="s">
        <v>32</v>
      </c>
      <c r="H31" s="15" t="s">
        <v>67</v>
      </c>
      <c r="I31" s="16" t="s">
        <v>1840</v>
      </c>
      <c r="J31" s="16" t="s">
        <v>227</v>
      </c>
      <c r="K31" s="16" t="s">
        <v>1305</v>
      </c>
      <c r="L31" s="16" t="s">
        <v>41</v>
      </c>
      <c r="M31" s="15">
        <v>0</v>
      </c>
      <c r="N31" s="15"/>
    </row>
    <row r="32" spans="1:14" ht="108">
      <c r="A32" s="15" t="s">
        <v>13</v>
      </c>
      <c r="B32" s="15" t="s">
        <v>73</v>
      </c>
      <c r="C32" s="15" t="s">
        <v>28</v>
      </c>
      <c r="D32" s="15" t="s">
        <v>29</v>
      </c>
      <c r="E32" s="15" t="s">
        <v>70</v>
      </c>
      <c r="F32" s="15" t="s">
        <v>867</v>
      </c>
      <c r="G32" s="15" t="s">
        <v>32</v>
      </c>
      <c r="H32" s="15" t="s">
        <v>67</v>
      </c>
      <c r="I32" s="16" t="s">
        <v>1847</v>
      </c>
      <c r="J32" s="16" t="s">
        <v>435</v>
      </c>
      <c r="K32" s="16" t="s">
        <v>1231</v>
      </c>
      <c r="L32" s="16" t="s">
        <v>99</v>
      </c>
      <c r="M32" s="15">
        <v>0</v>
      </c>
      <c r="N32" s="15"/>
    </row>
    <row r="33" spans="1:14" ht="108">
      <c r="A33" s="15" t="s">
        <v>13</v>
      </c>
      <c r="B33" s="15" t="s">
        <v>73</v>
      </c>
      <c r="C33" s="15" t="s">
        <v>28</v>
      </c>
      <c r="D33" s="15" t="s">
        <v>29</v>
      </c>
      <c r="E33" s="15" t="s">
        <v>70</v>
      </c>
      <c r="F33" s="15" t="s">
        <v>871</v>
      </c>
      <c r="G33" s="15" t="s">
        <v>32</v>
      </c>
      <c r="H33" s="15" t="s">
        <v>67</v>
      </c>
      <c r="I33" s="16" t="s">
        <v>872</v>
      </c>
      <c r="J33" s="16" t="s">
        <v>435</v>
      </c>
      <c r="K33" s="16" t="s">
        <v>1231</v>
      </c>
      <c r="L33" s="16" t="s">
        <v>99</v>
      </c>
      <c r="M33" s="15">
        <v>0</v>
      </c>
      <c r="N33" s="15"/>
    </row>
    <row r="34" spans="1:14" ht="108">
      <c r="A34" s="15" t="s">
        <v>13</v>
      </c>
      <c r="B34" s="15" t="s">
        <v>73</v>
      </c>
      <c r="C34" s="15" t="s">
        <v>28</v>
      </c>
      <c r="D34" s="15" t="s">
        <v>29</v>
      </c>
      <c r="E34" s="15" t="s">
        <v>70</v>
      </c>
      <c r="F34" s="15" t="s">
        <v>879</v>
      </c>
      <c r="G34" s="15" t="s">
        <v>32</v>
      </c>
      <c r="H34" s="15" t="s">
        <v>67</v>
      </c>
      <c r="I34" s="16" t="s">
        <v>434</v>
      </c>
      <c r="J34" s="16" t="s">
        <v>435</v>
      </c>
      <c r="K34" s="16" t="s">
        <v>1231</v>
      </c>
      <c r="L34" s="16" t="s">
        <v>99</v>
      </c>
      <c r="M34" s="15">
        <v>0</v>
      </c>
      <c r="N34" s="15"/>
    </row>
    <row r="35" spans="1:14" ht="126">
      <c r="A35" s="15" t="s">
        <v>13</v>
      </c>
      <c r="B35" s="15" t="s">
        <v>82</v>
      </c>
      <c r="C35" s="15" t="s">
        <v>28</v>
      </c>
      <c r="D35" s="15" t="s">
        <v>29</v>
      </c>
      <c r="E35" s="15" t="s">
        <v>83</v>
      </c>
      <c r="F35" s="15" t="s">
        <v>911</v>
      </c>
      <c r="G35" s="15" t="s">
        <v>19</v>
      </c>
      <c r="H35" s="15" t="s">
        <v>85</v>
      </c>
      <c r="I35" s="16" t="s">
        <v>1858</v>
      </c>
      <c r="J35" s="16" t="s">
        <v>87</v>
      </c>
      <c r="K35" s="16" t="s">
        <v>1305</v>
      </c>
      <c r="L35" s="16" t="s">
        <v>41</v>
      </c>
      <c r="M35" s="15">
        <v>0</v>
      </c>
      <c r="N35" s="15"/>
    </row>
    <row r="36" spans="1:14" ht="54">
      <c r="A36" s="15" t="s">
        <v>13</v>
      </c>
      <c r="B36" s="15" t="s">
        <v>943</v>
      </c>
      <c r="C36" s="15" t="s">
        <v>222</v>
      </c>
      <c r="D36" s="15" t="s">
        <v>223</v>
      </c>
      <c r="E36" s="15" t="s">
        <v>224</v>
      </c>
      <c r="F36" s="15" t="s">
        <v>944</v>
      </c>
      <c r="G36" s="15" t="s">
        <v>19</v>
      </c>
      <c r="H36" s="15" t="s">
        <v>945</v>
      </c>
      <c r="I36" s="16" t="s">
        <v>946</v>
      </c>
      <c r="J36" s="16" t="s">
        <v>947</v>
      </c>
      <c r="K36" s="16" t="s">
        <v>1254</v>
      </c>
      <c r="L36" s="16" t="s">
        <v>99</v>
      </c>
      <c r="M36" s="15">
        <v>0</v>
      </c>
      <c r="N36" s="15"/>
    </row>
    <row r="37" spans="1:14" ht="108">
      <c r="A37" s="15" t="s">
        <v>13</v>
      </c>
      <c r="B37" s="15" t="s">
        <v>281</v>
      </c>
      <c r="C37" s="15" t="s">
        <v>28</v>
      </c>
      <c r="D37" s="15" t="s">
        <v>29</v>
      </c>
      <c r="E37" s="15" t="s">
        <v>265</v>
      </c>
      <c r="F37" s="15" t="s">
        <v>960</v>
      </c>
      <c r="G37" s="15" t="s">
        <v>32</v>
      </c>
      <c r="H37" s="15" t="s">
        <v>33</v>
      </c>
      <c r="I37" s="16" t="s">
        <v>1842</v>
      </c>
      <c r="J37" s="16" t="s">
        <v>254</v>
      </c>
      <c r="K37" s="16" t="s">
        <v>1348</v>
      </c>
      <c r="L37" s="16" t="s">
        <v>99</v>
      </c>
      <c r="M37" s="15">
        <v>0</v>
      </c>
      <c r="N37" s="15"/>
    </row>
    <row r="38" spans="1:14" ht="108">
      <c r="A38" s="15" t="s">
        <v>13</v>
      </c>
      <c r="B38" s="15" t="s">
        <v>252</v>
      </c>
      <c r="C38" s="15" t="s">
        <v>28</v>
      </c>
      <c r="D38" s="15" t="s">
        <v>29</v>
      </c>
      <c r="E38" s="15" t="s">
        <v>132</v>
      </c>
      <c r="F38" s="15" t="s">
        <v>963</v>
      </c>
      <c r="G38" s="15" t="s">
        <v>32</v>
      </c>
      <c r="H38" s="15" t="s">
        <v>33</v>
      </c>
      <c r="I38" s="16" t="s">
        <v>1842</v>
      </c>
      <c r="J38" s="16" t="s">
        <v>254</v>
      </c>
      <c r="K38" s="16" t="s">
        <v>1207</v>
      </c>
      <c r="L38" s="16" t="s">
        <v>99</v>
      </c>
      <c r="M38" s="15">
        <v>0</v>
      </c>
      <c r="N38" s="15"/>
    </row>
    <row r="39" spans="1:14" ht="108">
      <c r="A39" s="15" t="s">
        <v>13</v>
      </c>
      <c r="B39" s="15" t="s">
        <v>516</v>
      </c>
      <c r="C39" s="15" t="s">
        <v>122</v>
      </c>
      <c r="D39" s="15" t="s">
        <v>123</v>
      </c>
      <c r="E39" s="15" t="s">
        <v>124</v>
      </c>
      <c r="F39" s="15" t="s">
        <v>1017</v>
      </c>
      <c r="G39" s="15" t="s">
        <v>19</v>
      </c>
      <c r="H39" s="15" t="s">
        <v>152</v>
      </c>
      <c r="I39" s="16" t="s">
        <v>1861</v>
      </c>
      <c r="J39" s="16" t="s">
        <v>905</v>
      </c>
      <c r="K39" s="16" t="s">
        <v>1305</v>
      </c>
      <c r="L39" s="16" t="s">
        <v>41</v>
      </c>
      <c r="M39" s="15">
        <v>0</v>
      </c>
      <c r="N39" s="15"/>
    </row>
    <row r="40" spans="1:14" ht="126">
      <c r="A40" s="15" t="s">
        <v>13</v>
      </c>
      <c r="B40" s="15" t="s">
        <v>82</v>
      </c>
      <c r="C40" s="15" t="s">
        <v>28</v>
      </c>
      <c r="D40" s="15" t="s">
        <v>29</v>
      </c>
      <c r="E40" s="15" t="s">
        <v>83</v>
      </c>
      <c r="F40" s="15" t="s">
        <v>1033</v>
      </c>
      <c r="G40" s="15" t="s">
        <v>19</v>
      </c>
      <c r="H40" s="15" t="s">
        <v>85</v>
      </c>
      <c r="I40" s="16" t="s">
        <v>1862</v>
      </c>
      <c r="J40" s="16" t="s">
        <v>87</v>
      </c>
      <c r="K40" s="16" t="s">
        <v>1305</v>
      </c>
      <c r="L40" s="16" t="s">
        <v>41</v>
      </c>
      <c r="M40" s="15">
        <v>0</v>
      </c>
      <c r="N40" s="15"/>
    </row>
    <row r="41" spans="1:14" ht="54">
      <c r="A41" s="15" t="s">
        <v>13</v>
      </c>
      <c r="B41" s="15" t="s">
        <v>546</v>
      </c>
      <c r="C41" s="15" t="s">
        <v>148</v>
      </c>
      <c r="D41" s="15" t="s">
        <v>149</v>
      </c>
      <c r="E41" s="15" t="s">
        <v>195</v>
      </c>
      <c r="F41" s="15" t="s">
        <v>1040</v>
      </c>
      <c r="G41" s="15" t="s">
        <v>32</v>
      </c>
      <c r="H41" s="15" t="s">
        <v>152</v>
      </c>
      <c r="I41" s="16" t="s">
        <v>1863</v>
      </c>
      <c r="J41" s="16" t="s">
        <v>645</v>
      </c>
      <c r="K41" s="16" t="s">
        <v>1409</v>
      </c>
      <c r="L41" s="16" t="s">
        <v>99</v>
      </c>
      <c r="M41" s="15">
        <v>0</v>
      </c>
      <c r="N41" s="15"/>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263E0-7E72-9249-86F9-C71C2794E0E1}">
  <dimension ref="A1:AT88"/>
  <sheetViews>
    <sheetView topLeftCell="AC1" zoomScale="108" workbookViewId="0">
      <selection activeCell="Q1" sqref="Q1:Q1048576"/>
    </sheetView>
  </sheetViews>
  <sheetFormatPr baseColWidth="10" defaultRowHeight="15"/>
  <cols>
    <col min="6" max="6" width="25.33203125" customWidth="1"/>
    <col min="7" max="8" width="0" hidden="1" customWidth="1"/>
    <col min="9" max="9" width="26.1640625" customWidth="1"/>
    <col min="11" max="11" width="21.83203125" customWidth="1"/>
    <col min="12" max="12" width="45" customWidth="1"/>
    <col min="13" max="13" width="57.83203125" customWidth="1"/>
    <col min="16" max="16" width="42.5" customWidth="1"/>
    <col min="17" max="17" width="40.33203125" customWidth="1"/>
    <col min="37" max="37" width="68.83203125" customWidth="1"/>
    <col min="38" max="38" width="27.6640625" customWidth="1"/>
    <col min="39" max="39" width="25.33203125" customWidth="1"/>
    <col min="45" max="45" width="62.83203125" style="1" customWidth="1"/>
  </cols>
  <sheetData>
    <row r="1" spans="1:46" ht="16">
      <c r="A1" t="s">
        <v>0</v>
      </c>
      <c r="B1" t="s">
        <v>1052</v>
      </c>
      <c r="C1" t="s">
        <v>1053</v>
      </c>
      <c r="D1" t="s">
        <v>1054</v>
      </c>
      <c r="E1" t="s">
        <v>1055</v>
      </c>
      <c r="F1" t="s">
        <v>1056</v>
      </c>
      <c r="G1" t="s">
        <v>1057</v>
      </c>
      <c r="H1" t="s">
        <v>1058</v>
      </c>
      <c r="I1" t="s">
        <v>1059</v>
      </c>
      <c r="J1" t="s">
        <v>1060</v>
      </c>
      <c r="K1" t="s">
        <v>1061</v>
      </c>
      <c r="L1" t="s">
        <v>1062</v>
      </c>
      <c r="M1" t="s">
        <v>1063</v>
      </c>
      <c r="N1" t="s">
        <v>1064</v>
      </c>
      <c r="O1" t="s">
        <v>1065</v>
      </c>
      <c r="P1" t="s">
        <v>1066</v>
      </c>
      <c r="Q1" t="s">
        <v>1067</v>
      </c>
      <c r="R1" t="s">
        <v>1068</v>
      </c>
      <c r="S1" t="s">
        <v>1069</v>
      </c>
      <c r="T1" t="s">
        <v>1070</v>
      </c>
      <c r="U1" t="s">
        <v>1071</v>
      </c>
      <c r="V1" t="s">
        <v>1072</v>
      </c>
      <c r="W1" t="s">
        <v>1073</v>
      </c>
      <c r="X1" t="s">
        <v>1074</v>
      </c>
      <c r="Y1" t="s">
        <v>1075</v>
      </c>
      <c r="Z1" t="s">
        <v>1076</v>
      </c>
      <c r="AA1" t="s">
        <v>1077</v>
      </c>
      <c r="AB1" t="s">
        <v>1078</v>
      </c>
      <c r="AC1" t="s">
        <v>1079</v>
      </c>
      <c r="AD1" t="s">
        <v>1080</v>
      </c>
      <c r="AE1" t="s">
        <v>1081</v>
      </c>
      <c r="AF1" t="s">
        <v>1082</v>
      </c>
      <c r="AG1" t="s">
        <v>1083</v>
      </c>
      <c r="AH1" t="s">
        <v>1084</v>
      </c>
      <c r="AI1" t="s">
        <v>1085</v>
      </c>
      <c r="AJ1" t="s">
        <v>1086</v>
      </c>
      <c r="AK1" t="s">
        <v>1087</v>
      </c>
      <c r="AL1" t="s">
        <v>1088</v>
      </c>
      <c r="AM1" t="s">
        <v>1089</v>
      </c>
      <c r="AN1" t="s">
        <v>1090</v>
      </c>
      <c r="AO1" t="s">
        <v>1091</v>
      </c>
      <c r="AP1" t="s">
        <v>1092</v>
      </c>
      <c r="AQ1" t="s">
        <v>1093</v>
      </c>
      <c r="AR1" t="s">
        <v>1094</v>
      </c>
      <c r="AS1" s="1" t="s">
        <v>1095</v>
      </c>
      <c r="AT1" t="s">
        <v>1096</v>
      </c>
    </row>
    <row r="2" spans="1:46">
      <c r="A2" t="s">
        <v>13</v>
      </c>
      <c r="B2" t="s">
        <v>1097</v>
      </c>
      <c r="C2" t="s">
        <v>1098</v>
      </c>
      <c r="E2" t="s">
        <v>1099</v>
      </c>
      <c r="F2" t="s">
        <v>1100</v>
      </c>
      <c r="I2" t="s">
        <v>1101</v>
      </c>
      <c r="J2" t="s">
        <v>1102</v>
      </c>
      <c r="K2" t="s">
        <v>1103</v>
      </c>
      <c r="L2" t="s">
        <v>1834</v>
      </c>
      <c r="M2" t="s">
        <v>1104</v>
      </c>
      <c r="N2" t="s">
        <v>1102</v>
      </c>
      <c r="O2" t="s">
        <v>1105</v>
      </c>
      <c r="P2" t="s">
        <v>1106</v>
      </c>
      <c r="Q2" t="s">
        <v>1107</v>
      </c>
      <c r="S2" t="s">
        <v>1108</v>
      </c>
      <c r="T2" t="s">
        <v>99</v>
      </c>
      <c r="W2" t="s">
        <v>1109</v>
      </c>
      <c r="AG2" t="s">
        <v>1110</v>
      </c>
    </row>
    <row r="3" spans="1:46">
      <c r="A3" t="s">
        <v>13</v>
      </c>
      <c r="B3" t="s">
        <v>1111</v>
      </c>
      <c r="C3" t="s">
        <v>1112</v>
      </c>
      <c r="E3" t="s">
        <v>1099</v>
      </c>
      <c r="F3" t="s">
        <v>1113</v>
      </c>
      <c r="I3" t="s">
        <v>1114</v>
      </c>
      <c r="J3" t="s">
        <v>1102</v>
      </c>
      <c r="K3" t="s">
        <v>1115</v>
      </c>
      <c r="L3" t="s">
        <v>1116</v>
      </c>
      <c r="M3" t="s">
        <v>1117</v>
      </c>
      <c r="N3" t="s">
        <v>1102</v>
      </c>
      <c r="O3" t="s">
        <v>1105</v>
      </c>
      <c r="P3" t="s">
        <v>1118</v>
      </c>
      <c r="Q3" t="s">
        <v>1119</v>
      </c>
      <c r="S3" t="s">
        <v>1120</v>
      </c>
      <c r="T3" t="s">
        <v>41</v>
      </c>
      <c r="U3" t="s">
        <v>1121</v>
      </c>
      <c r="W3" t="s">
        <v>1122</v>
      </c>
      <c r="AH3" t="s">
        <v>1123</v>
      </c>
    </row>
    <row r="4" spans="1:46">
      <c r="A4" t="s">
        <v>13</v>
      </c>
      <c r="B4" t="s">
        <v>1111</v>
      </c>
      <c r="C4" t="s">
        <v>1112</v>
      </c>
      <c r="E4" t="s">
        <v>1099</v>
      </c>
      <c r="F4" t="s">
        <v>1124</v>
      </c>
      <c r="I4" t="s">
        <v>1114</v>
      </c>
      <c r="J4" t="s">
        <v>1102</v>
      </c>
      <c r="K4" t="s">
        <v>1125</v>
      </c>
      <c r="L4" t="s">
        <v>1126</v>
      </c>
      <c r="M4" t="s">
        <v>1127</v>
      </c>
      <c r="N4" t="s">
        <v>1102</v>
      </c>
      <c r="O4" t="s">
        <v>1105</v>
      </c>
      <c r="P4" t="s">
        <v>1128</v>
      </c>
      <c r="Q4" t="s">
        <v>1129</v>
      </c>
      <c r="S4" t="s">
        <v>1120</v>
      </c>
      <c r="T4" t="s">
        <v>99</v>
      </c>
      <c r="W4" t="s">
        <v>1130</v>
      </c>
      <c r="X4" t="s">
        <v>1121</v>
      </c>
      <c r="Y4" t="s">
        <v>1131</v>
      </c>
      <c r="AB4" t="s">
        <v>1132</v>
      </c>
      <c r="AC4" t="s">
        <v>1133</v>
      </c>
      <c r="AD4" t="s">
        <v>1134</v>
      </c>
      <c r="AE4" t="s">
        <v>1135</v>
      </c>
      <c r="AF4" t="s">
        <v>1136</v>
      </c>
      <c r="AH4" t="s">
        <v>1137</v>
      </c>
      <c r="AI4" t="s">
        <v>1138</v>
      </c>
      <c r="AJ4" t="s">
        <v>1139</v>
      </c>
      <c r="AK4" t="s">
        <v>1140</v>
      </c>
      <c r="AM4" t="s">
        <v>1141</v>
      </c>
    </row>
    <row r="5" spans="1:46">
      <c r="A5" t="s">
        <v>13</v>
      </c>
      <c r="B5" t="s">
        <v>1142</v>
      </c>
      <c r="C5" t="s">
        <v>1143</v>
      </c>
      <c r="E5" t="s">
        <v>1099</v>
      </c>
      <c r="F5" t="s">
        <v>1144</v>
      </c>
      <c r="I5" t="s">
        <v>1101</v>
      </c>
      <c r="J5" t="s">
        <v>1102</v>
      </c>
      <c r="K5" t="s">
        <v>1145</v>
      </c>
      <c r="L5" t="s">
        <v>1146</v>
      </c>
      <c r="M5" t="s">
        <v>1147</v>
      </c>
      <c r="N5" t="s">
        <v>1102</v>
      </c>
      <c r="O5" t="s">
        <v>1105</v>
      </c>
      <c r="P5" t="s">
        <v>1148</v>
      </c>
      <c r="Q5" t="s">
        <v>1129</v>
      </c>
      <c r="S5" t="s">
        <v>1120</v>
      </c>
      <c r="T5" t="s">
        <v>99</v>
      </c>
      <c r="W5" t="s">
        <v>1149</v>
      </c>
      <c r="X5" t="s">
        <v>1121</v>
      </c>
      <c r="Y5" t="s">
        <v>1131</v>
      </c>
      <c r="AB5" t="s">
        <v>1132</v>
      </c>
      <c r="AC5" t="s">
        <v>1150</v>
      </c>
      <c r="AD5" t="s">
        <v>1151</v>
      </c>
      <c r="AE5" t="s">
        <v>1152</v>
      </c>
      <c r="AF5" t="s">
        <v>1153</v>
      </c>
      <c r="AH5" t="s">
        <v>1154</v>
      </c>
      <c r="AI5" t="s">
        <v>1138</v>
      </c>
      <c r="AJ5" t="s">
        <v>1139</v>
      </c>
      <c r="AK5" t="s">
        <v>1155</v>
      </c>
      <c r="AM5" t="s">
        <v>1141</v>
      </c>
    </row>
    <row r="6" spans="1:46">
      <c r="A6" t="s">
        <v>13</v>
      </c>
      <c r="B6" t="s">
        <v>1111</v>
      </c>
      <c r="C6" t="s">
        <v>1156</v>
      </c>
      <c r="E6" t="s">
        <v>1099</v>
      </c>
      <c r="F6" t="s">
        <v>1157</v>
      </c>
      <c r="I6" t="s">
        <v>1114</v>
      </c>
      <c r="J6" t="s">
        <v>1102</v>
      </c>
      <c r="K6" t="s">
        <v>1158</v>
      </c>
      <c r="L6" t="s">
        <v>1159</v>
      </c>
      <c r="M6" t="s">
        <v>1160</v>
      </c>
      <c r="N6" t="s">
        <v>1102</v>
      </c>
      <c r="O6" t="s">
        <v>1105</v>
      </c>
      <c r="P6" t="s">
        <v>1161</v>
      </c>
      <c r="Q6" t="s">
        <v>1129</v>
      </c>
      <c r="S6" t="s">
        <v>1120</v>
      </c>
      <c r="T6" t="s">
        <v>99</v>
      </c>
      <c r="W6" t="s">
        <v>1162</v>
      </c>
      <c r="X6" t="s">
        <v>1121</v>
      </c>
      <c r="Y6" t="s">
        <v>1131</v>
      </c>
      <c r="AB6" t="s">
        <v>1132</v>
      </c>
      <c r="AC6" t="s">
        <v>1163</v>
      </c>
      <c r="AD6" t="s">
        <v>1164</v>
      </c>
      <c r="AE6" t="s">
        <v>1165</v>
      </c>
      <c r="AF6" t="s">
        <v>1166</v>
      </c>
      <c r="AH6" t="s">
        <v>1167</v>
      </c>
      <c r="AI6" t="s">
        <v>1138</v>
      </c>
      <c r="AJ6" t="s">
        <v>1139</v>
      </c>
      <c r="AK6" t="s">
        <v>1168</v>
      </c>
      <c r="AM6" t="s">
        <v>1141</v>
      </c>
    </row>
    <row r="7" spans="1:46">
      <c r="A7" t="s">
        <v>13</v>
      </c>
      <c r="B7" t="s">
        <v>1142</v>
      </c>
      <c r="C7" t="s">
        <v>1169</v>
      </c>
      <c r="E7" t="s">
        <v>1099</v>
      </c>
      <c r="F7" t="s">
        <v>1170</v>
      </c>
      <c r="I7" t="s">
        <v>1101</v>
      </c>
      <c r="J7" t="s">
        <v>1102</v>
      </c>
      <c r="K7" t="s">
        <v>1171</v>
      </c>
      <c r="L7" t="s">
        <v>1172</v>
      </c>
      <c r="M7" t="s">
        <v>1173</v>
      </c>
      <c r="N7" t="s">
        <v>1102</v>
      </c>
      <c r="O7" t="s">
        <v>1105</v>
      </c>
      <c r="P7" t="s">
        <v>1174</v>
      </c>
      <c r="Q7" t="s">
        <v>1119</v>
      </c>
      <c r="S7" t="s">
        <v>1120</v>
      </c>
      <c r="T7" t="s">
        <v>41</v>
      </c>
      <c r="U7" t="s">
        <v>1121</v>
      </c>
      <c r="W7" t="s">
        <v>1175</v>
      </c>
      <c r="AH7" t="s">
        <v>1167</v>
      </c>
    </row>
    <row r="8" spans="1:46">
      <c r="A8" t="s">
        <v>13</v>
      </c>
      <c r="B8" t="s">
        <v>1142</v>
      </c>
      <c r="C8" t="s">
        <v>1176</v>
      </c>
      <c r="E8" t="s">
        <v>1099</v>
      </c>
      <c r="F8" t="s">
        <v>1177</v>
      </c>
      <c r="I8" t="s">
        <v>1114</v>
      </c>
      <c r="J8" t="s">
        <v>1102</v>
      </c>
      <c r="K8" t="s">
        <v>1178</v>
      </c>
      <c r="L8" t="s">
        <v>1179</v>
      </c>
      <c r="M8" t="s">
        <v>1180</v>
      </c>
      <c r="N8" t="s">
        <v>1102</v>
      </c>
      <c r="O8" t="s">
        <v>1105</v>
      </c>
      <c r="P8" t="s">
        <v>1181</v>
      </c>
      <c r="Q8" t="s">
        <v>1119</v>
      </c>
      <c r="S8" t="s">
        <v>1120</v>
      </c>
      <c r="T8" t="s">
        <v>41</v>
      </c>
      <c r="U8" t="s">
        <v>1121</v>
      </c>
      <c r="W8" t="s">
        <v>1182</v>
      </c>
      <c r="AH8" t="s">
        <v>1123</v>
      </c>
    </row>
    <row r="9" spans="1:46">
      <c r="A9" t="s">
        <v>13</v>
      </c>
      <c r="B9" t="s">
        <v>1097</v>
      </c>
      <c r="C9" t="s">
        <v>1183</v>
      </c>
      <c r="E9" t="s">
        <v>1099</v>
      </c>
      <c r="F9" t="s">
        <v>1184</v>
      </c>
      <c r="I9" t="s">
        <v>1114</v>
      </c>
      <c r="J9" t="s">
        <v>1102</v>
      </c>
      <c r="K9" t="s">
        <v>1185</v>
      </c>
      <c r="L9" t="s">
        <v>1186</v>
      </c>
      <c r="M9" t="s">
        <v>1187</v>
      </c>
      <c r="N9" t="s">
        <v>1102</v>
      </c>
      <c r="O9" t="s">
        <v>1105</v>
      </c>
      <c r="P9" t="s">
        <v>1188</v>
      </c>
      <c r="Q9" t="s">
        <v>1119</v>
      </c>
      <c r="S9" t="s">
        <v>1120</v>
      </c>
      <c r="T9" t="s">
        <v>41</v>
      </c>
      <c r="U9" t="s">
        <v>1121</v>
      </c>
      <c r="W9" t="s">
        <v>1189</v>
      </c>
      <c r="AH9" t="s">
        <v>1190</v>
      </c>
    </row>
    <row r="10" spans="1:46">
      <c r="A10" t="s">
        <v>13</v>
      </c>
      <c r="B10" t="s">
        <v>1142</v>
      </c>
      <c r="C10" t="s">
        <v>1169</v>
      </c>
      <c r="E10" t="s">
        <v>1099</v>
      </c>
      <c r="F10" t="s">
        <v>1191</v>
      </c>
      <c r="I10" t="s">
        <v>1101</v>
      </c>
      <c r="J10" t="s">
        <v>1102</v>
      </c>
      <c r="K10" t="s">
        <v>1192</v>
      </c>
      <c r="L10" t="s">
        <v>1193</v>
      </c>
      <c r="M10" t="s">
        <v>390</v>
      </c>
      <c r="N10" t="s">
        <v>1102</v>
      </c>
      <c r="O10" t="s">
        <v>1105</v>
      </c>
      <c r="P10" t="s">
        <v>1194</v>
      </c>
      <c r="Q10" t="s">
        <v>1119</v>
      </c>
      <c r="S10" t="s">
        <v>1120</v>
      </c>
      <c r="T10" t="s">
        <v>41</v>
      </c>
      <c r="U10" t="s">
        <v>1121</v>
      </c>
      <c r="W10" t="s">
        <v>1175</v>
      </c>
      <c r="AH10" t="s">
        <v>1167</v>
      </c>
    </row>
    <row r="11" spans="1:46">
      <c r="A11" t="s">
        <v>13</v>
      </c>
      <c r="B11" t="s">
        <v>1097</v>
      </c>
      <c r="C11" t="s">
        <v>1195</v>
      </c>
      <c r="E11" t="s">
        <v>1099</v>
      </c>
      <c r="F11" t="s">
        <v>1196</v>
      </c>
      <c r="I11" t="s">
        <v>1101</v>
      </c>
      <c r="J11" t="s">
        <v>1102</v>
      </c>
      <c r="K11" t="s">
        <v>1197</v>
      </c>
      <c r="L11" t="s">
        <v>1198</v>
      </c>
      <c r="M11" t="s">
        <v>254</v>
      </c>
      <c r="N11" t="s">
        <v>1199</v>
      </c>
      <c r="O11" t="s">
        <v>1200</v>
      </c>
      <c r="P11" t="s">
        <v>1201</v>
      </c>
      <c r="Q11" t="s">
        <v>1119</v>
      </c>
      <c r="S11" t="s">
        <v>1120</v>
      </c>
      <c r="T11" t="s">
        <v>41</v>
      </c>
      <c r="U11" t="s">
        <v>1121</v>
      </c>
      <c r="W11" t="s">
        <v>1202</v>
      </c>
      <c r="AH11" t="s">
        <v>1203</v>
      </c>
    </row>
    <row r="12" spans="1:46">
      <c r="A12" t="s">
        <v>13</v>
      </c>
      <c r="B12" t="s">
        <v>1142</v>
      </c>
      <c r="C12" t="s">
        <v>1169</v>
      </c>
      <c r="E12" t="s">
        <v>1099</v>
      </c>
      <c r="F12" t="s">
        <v>1204</v>
      </c>
      <c r="I12" t="s">
        <v>1101</v>
      </c>
      <c r="J12" t="s">
        <v>1102</v>
      </c>
      <c r="K12" t="s">
        <v>1205</v>
      </c>
      <c r="L12" t="s">
        <v>1198</v>
      </c>
      <c r="M12" t="s">
        <v>254</v>
      </c>
      <c r="N12" t="s">
        <v>1102</v>
      </c>
      <c r="O12" t="s">
        <v>1105</v>
      </c>
      <c r="P12" t="s">
        <v>1206</v>
      </c>
      <c r="Q12" t="s">
        <v>1207</v>
      </c>
      <c r="S12" t="s">
        <v>1208</v>
      </c>
      <c r="T12" t="s">
        <v>99</v>
      </c>
      <c r="W12" t="s">
        <v>1209</v>
      </c>
      <c r="AG12" t="s">
        <v>1110</v>
      </c>
    </row>
    <row r="13" spans="1:46">
      <c r="A13" t="s">
        <v>13</v>
      </c>
      <c r="B13" t="s">
        <v>1210</v>
      </c>
      <c r="C13" t="s">
        <v>1211</v>
      </c>
      <c r="E13" t="s">
        <v>1099</v>
      </c>
      <c r="F13" t="s">
        <v>1212</v>
      </c>
      <c r="I13" t="s">
        <v>1101</v>
      </c>
      <c r="J13" t="s">
        <v>1102</v>
      </c>
      <c r="K13" t="s">
        <v>1213</v>
      </c>
      <c r="L13" t="s">
        <v>1198</v>
      </c>
      <c r="M13" t="s">
        <v>254</v>
      </c>
      <c r="N13" t="s">
        <v>1102</v>
      </c>
      <c r="O13" t="s">
        <v>1105</v>
      </c>
      <c r="P13" t="s">
        <v>1214</v>
      </c>
      <c r="Q13" t="s">
        <v>1119</v>
      </c>
      <c r="S13" t="s">
        <v>1120</v>
      </c>
      <c r="T13" t="s">
        <v>41</v>
      </c>
      <c r="U13" t="s">
        <v>1121</v>
      </c>
      <c r="W13" t="s">
        <v>1215</v>
      </c>
      <c r="AH13" t="s">
        <v>1216</v>
      </c>
    </row>
    <row r="14" spans="1:46">
      <c r="A14" t="s">
        <v>13</v>
      </c>
      <c r="B14" t="s">
        <v>1097</v>
      </c>
      <c r="C14" t="s">
        <v>1183</v>
      </c>
      <c r="E14" t="s">
        <v>1099</v>
      </c>
      <c r="F14" t="s">
        <v>1217</v>
      </c>
      <c r="I14" t="s">
        <v>1101</v>
      </c>
      <c r="J14" t="s">
        <v>1102</v>
      </c>
      <c r="K14" t="s">
        <v>1218</v>
      </c>
      <c r="L14" t="s">
        <v>1219</v>
      </c>
      <c r="M14" t="s">
        <v>1220</v>
      </c>
      <c r="N14" t="s">
        <v>1102</v>
      </c>
      <c r="O14" t="s">
        <v>1105</v>
      </c>
      <c r="P14" t="s">
        <v>1221</v>
      </c>
      <c r="Q14" t="s">
        <v>1207</v>
      </c>
      <c r="S14" t="s">
        <v>1208</v>
      </c>
      <c r="T14" t="s">
        <v>99</v>
      </c>
      <c r="W14" t="s">
        <v>1222</v>
      </c>
      <c r="AG14" t="s">
        <v>1223</v>
      </c>
    </row>
    <row r="15" spans="1:46">
      <c r="A15" t="s">
        <v>13</v>
      </c>
      <c r="B15" t="s">
        <v>1097</v>
      </c>
      <c r="C15" t="s">
        <v>1183</v>
      </c>
      <c r="E15" t="s">
        <v>1099</v>
      </c>
      <c r="F15" t="s">
        <v>1224</v>
      </c>
      <c r="I15" t="s">
        <v>1101</v>
      </c>
      <c r="J15" t="s">
        <v>1102</v>
      </c>
      <c r="K15" t="s">
        <v>1225</v>
      </c>
      <c r="L15" t="s">
        <v>1219</v>
      </c>
      <c r="M15" t="s">
        <v>1220</v>
      </c>
      <c r="N15" t="s">
        <v>1102</v>
      </c>
      <c r="O15" t="s">
        <v>1105</v>
      </c>
      <c r="P15" t="s">
        <v>1226</v>
      </c>
      <c r="Q15" t="s">
        <v>1207</v>
      </c>
      <c r="S15" t="s">
        <v>1208</v>
      </c>
      <c r="T15" t="s">
        <v>99</v>
      </c>
      <c r="W15" t="s">
        <v>1222</v>
      </c>
      <c r="AG15" t="s">
        <v>1223</v>
      </c>
    </row>
    <row r="16" spans="1:46" ht="176">
      <c r="A16" t="s">
        <v>13</v>
      </c>
      <c r="B16" t="s">
        <v>1227</v>
      </c>
      <c r="C16" t="s">
        <v>70</v>
      </c>
      <c r="E16" t="s">
        <v>1228</v>
      </c>
      <c r="F16" t="s">
        <v>73</v>
      </c>
      <c r="H16" t="s">
        <v>1229</v>
      </c>
      <c r="I16" t="s">
        <v>1101</v>
      </c>
      <c r="J16" t="s">
        <v>1102</v>
      </c>
      <c r="K16" s="5">
        <v>46156.493726851855</v>
      </c>
      <c r="L16" t="s">
        <v>67</v>
      </c>
      <c r="M16" t="s">
        <v>435</v>
      </c>
      <c r="N16" t="s">
        <v>1102</v>
      </c>
      <c r="O16" t="s">
        <v>1105</v>
      </c>
      <c r="P16" t="s">
        <v>1230</v>
      </c>
      <c r="Q16" t="s">
        <v>1231</v>
      </c>
      <c r="S16" t="s">
        <v>1232</v>
      </c>
      <c r="T16" t="s">
        <v>99</v>
      </c>
      <c r="W16" t="s">
        <v>1233</v>
      </c>
      <c r="X16" t="s">
        <v>1234</v>
      </c>
      <c r="Y16" t="s">
        <v>1235</v>
      </c>
      <c r="AB16" t="s">
        <v>1236</v>
      </c>
      <c r="AC16" t="s">
        <v>1237</v>
      </c>
      <c r="AE16" t="s">
        <v>1238</v>
      </c>
      <c r="AI16" t="s">
        <v>1138</v>
      </c>
      <c r="AJ16" t="s">
        <v>1239</v>
      </c>
      <c r="AK16" t="s">
        <v>1240</v>
      </c>
      <c r="AM16" t="s">
        <v>1141</v>
      </c>
      <c r="AS16" s="1" t="s">
        <v>872</v>
      </c>
    </row>
    <row r="17" spans="1:45" ht="160">
      <c r="A17" t="s">
        <v>13</v>
      </c>
      <c r="B17" t="s">
        <v>1241</v>
      </c>
      <c r="C17" t="s">
        <v>36</v>
      </c>
      <c r="E17" t="s">
        <v>1228</v>
      </c>
      <c r="F17" t="s">
        <v>35</v>
      </c>
      <c r="H17" t="s">
        <v>1242</v>
      </c>
      <c r="I17" t="s">
        <v>1101</v>
      </c>
      <c r="J17" t="s">
        <v>1102</v>
      </c>
      <c r="K17" t="s">
        <v>1243</v>
      </c>
      <c r="L17" t="s">
        <v>1244</v>
      </c>
      <c r="M17" t="s">
        <v>40</v>
      </c>
      <c r="N17" t="s">
        <v>1199</v>
      </c>
      <c r="O17" t="s">
        <v>1200</v>
      </c>
      <c r="P17" t="s">
        <v>1245</v>
      </c>
      <c r="Q17" t="s">
        <v>1246</v>
      </c>
      <c r="S17" t="s">
        <v>1247</v>
      </c>
      <c r="T17" t="s">
        <v>41</v>
      </c>
      <c r="U17" t="s">
        <v>1248</v>
      </c>
      <c r="W17" t="s">
        <v>1249</v>
      </c>
      <c r="AH17" t="s">
        <v>1250</v>
      </c>
      <c r="AS17" s="1" t="s">
        <v>38</v>
      </c>
    </row>
    <row r="18" spans="1:45" ht="192">
      <c r="A18" t="s">
        <v>13</v>
      </c>
      <c r="B18" t="s">
        <v>1241</v>
      </c>
      <c r="C18" t="s">
        <v>36</v>
      </c>
      <c r="E18" t="s">
        <v>1228</v>
      </c>
      <c r="F18" t="s">
        <v>618</v>
      </c>
      <c r="H18" t="s">
        <v>1251</v>
      </c>
      <c r="I18" t="s">
        <v>1101</v>
      </c>
      <c r="J18" t="s">
        <v>1102</v>
      </c>
      <c r="K18" t="s">
        <v>1252</v>
      </c>
      <c r="L18" t="s">
        <v>1244</v>
      </c>
      <c r="M18" t="s">
        <v>621</v>
      </c>
      <c r="N18" t="s">
        <v>1102</v>
      </c>
      <c r="O18" t="s">
        <v>1105</v>
      </c>
      <c r="P18" t="s">
        <v>1253</v>
      </c>
      <c r="Q18" t="s">
        <v>1254</v>
      </c>
      <c r="S18" t="s">
        <v>1255</v>
      </c>
      <c r="T18" t="s">
        <v>99</v>
      </c>
      <c r="W18" t="s">
        <v>1256</v>
      </c>
      <c r="X18" t="s">
        <v>1257</v>
      </c>
      <c r="Y18" t="s">
        <v>1258</v>
      </c>
      <c r="AB18" t="s">
        <v>1132</v>
      </c>
      <c r="AC18" t="s">
        <v>1259</v>
      </c>
      <c r="AD18" t="s">
        <v>1260</v>
      </c>
      <c r="AE18" t="s">
        <v>1261</v>
      </c>
      <c r="AF18" t="s">
        <v>1262</v>
      </c>
      <c r="AH18" t="s">
        <v>1263</v>
      </c>
      <c r="AI18" t="s">
        <v>1138</v>
      </c>
      <c r="AJ18" t="s">
        <v>1139</v>
      </c>
      <c r="AK18" t="s">
        <v>1264</v>
      </c>
      <c r="AM18" t="s">
        <v>1141</v>
      </c>
      <c r="AS18" s="1" t="s">
        <v>620</v>
      </c>
    </row>
    <row r="19" spans="1:45" ht="16">
      <c r="A19" t="s">
        <v>13</v>
      </c>
      <c r="B19" t="s">
        <v>1265</v>
      </c>
      <c r="C19" t="s">
        <v>60</v>
      </c>
      <c r="E19" t="s">
        <v>1228</v>
      </c>
      <c r="F19" t="s">
        <v>171</v>
      </c>
      <c r="H19" t="s">
        <v>1266</v>
      </c>
      <c r="I19" t="s">
        <v>1101</v>
      </c>
      <c r="J19" t="s">
        <v>1102</v>
      </c>
      <c r="K19" t="s">
        <v>1267</v>
      </c>
      <c r="L19" t="s">
        <v>1244</v>
      </c>
      <c r="M19" t="s">
        <v>274</v>
      </c>
      <c r="N19" t="s">
        <v>1102</v>
      </c>
      <c r="O19" t="s">
        <v>1105</v>
      </c>
      <c r="P19" t="s">
        <v>1268</v>
      </c>
      <c r="Q19" t="s">
        <v>1269</v>
      </c>
      <c r="S19" t="s">
        <v>1270</v>
      </c>
      <c r="T19" t="s">
        <v>99</v>
      </c>
      <c r="W19" t="s">
        <v>1271</v>
      </c>
      <c r="X19" t="s">
        <v>1272</v>
      </c>
      <c r="Y19" t="s">
        <v>1273</v>
      </c>
      <c r="AB19" t="s">
        <v>1132</v>
      </c>
      <c r="AC19" t="s">
        <v>1274</v>
      </c>
      <c r="AD19" t="s">
        <v>1275</v>
      </c>
      <c r="AE19" t="s">
        <v>1276</v>
      </c>
      <c r="AF19" t="s">
        <v>1277</v>
      </c>
      <c r="AM19" t="s">
        <v>1141</v>
      </c>
      <c r="AS19" s="1" t="s">
        <v>1278</v>
      </c>
    </row>
    <row r="20" spans="1:45" ht="16">
      <c r="A20" t="s">
        <v>13</v>
      </c>
      <c r="B20" t="s">
        <v>1241</v>
      </c>
      <c r="C20" t="s">
        <v>30</v>
      </c>
      <c r="E20" t="s">
        <v>1228</v>
      </c>
      <c r="F20" t="s">
        <v>1279</v>
      </c>
      <c r="H20" t="s">
        <v>1280</v>
      </c>
      <c r="I20" t="s">
        <v>1114</v>
      </c>
      <c r="J20" t="s">
        <v>1102</v>
      </c>
      <c r="K20" t="s">
        <v>1281</v>
      </c>
      <c r="L20" t="s">
        <v>1179</v>
      </c>
      <c r="M20" t="s">
        <v>1282</v>
      </c>
      <c r="N20" t="s">
        <v>1102</v>
      </c>
      <c r="O20" t="s">
        <v>1105</v>
      </c>
      <c r="P20" t="s">
        <v>1283</v>
      </c>
      <c r="Q20" t="s">
        <v>1284</v>
      </c>
      <c r="S20" t="s">
        <v>1285</v>
      </c>
      <c r="T20" t="s">
        <v>41</v>
      </c>
      <c r="U20" t="s">
        <v>1286</v>
      </c>
      <c r="W20" t="s">
        <v>1287</v>
      </c>
      <c r="AH20" t="s">
        <v>1288</v>
      </c>
      <c r="AS20" s="1" t="s">
        <v>1278</v>
      </c>
    </row>
    <row r="21" spans="1:45">
      <c r="A21" t="s">
        <v>13</v>
      </c>
      <c r="B21" t="s">
        <v>1241</v>
      </c>
      <c r="C21" t="s">
        <v>30</v>
      </c>
      <c r="E21" t="s">
        <v>1228</v>
      </c>
      <c r="F21" t="s">
        <v>1279</v>
      </c>
      <c r="H21" t="s">
        <v>1280</v>
      </c>
      <c r="I21" t="s">
        <v>1114</v>
      </c>
      <c r="J21" t="s">
        <v>1102</v>
      </c>
      <c r="K21" t="s">
        <v>1289</v>
      </c>
      <c r="L21" t="s">
        <v>1179</v>
      </c>
      <c r="M21" t="s">
        <v>1282</v>
      </c>
      <c r="N21" t="s">
        <v>1102</v>
      </c>
      <c r="O21" t="s">
        <v>1105</v>
      </c>
      <c r="P21" t="s">
        <v>1290</v>
      </c>
      <c r="Q21" t="s">
        <v>1284</v>
      </c>
      <c r="S21" t="s">
        <v>1285</v>
      </c>
      <c r="T21" t="s">
        <v>41</v>
      </c>
      <c r="U21" t="s">
        <v>1286</v>
      </c>
      <c r="W21" t="s">
        <v>1291</v>
      </c>
      <c r="AH21" t="s">
        <v>1288</v>
      </c>
    </row>
    <row r="22" spans="1:45">
      <c r="A22" t="s">
        <v>13</v>
      </c>
      <c r="B22" t="s">
        <v>1292</v>
      </c>
      <c r="C22" t="s">
        <v>447</v>
      </c>
      <c r="E22" t="s">
        <v>1228</v>
      </c>
      <c r="F22" t="s">
        <v>1293</v>
      </c>
      <c r="H22" t="s">
        <v>1294</v>
      </c>
      <c r="I22" t="s">
        <v>1295</v>
      </c>
      <c r="J22" t="s">
        <v>1102</v>
      </c>
      <c r="K22" t="s">
        <v>1296</v>
      </c>
      <c r="L22" t="s">
        <v>1193</v>
      </c>
      <c r="M22" t="s">
        <v>390</v>
      </c>
      <c r="N22" t="s">
        <v>1102</v>
      </c>
      <c r="O22" t="s">
        <v>1105</v>
      </c>
      <c r="P22" t="s">
        <v>1297</v>
      </c>
      <c r="Q22" t="s">
        <v>1284</v>
      </c>
      <c r="S22" t="s">
        <v>1285</v>
      </c>
      <c r="T22" t="s">
        <v>41</v>
      </c>
      <c r="U22" t="s">
        <v>1286</v>
      </c>
      <c r="W22" t="s">
        <v>1298</v>
      </c>
      <c r="AH22" t="s">
        <v>1288</v>
      </c>
    </row>
    <row r="23" spans="1:45">
      <c r="A23" t="s">
        <v>13</v>
      </c>
      <c r="B23" t="s">
        <v>1292</v>
      </c>
      <c r="C23" t="s">
        <v>447</v>
      </c>
      <c r="E23" t="s">
        <v>1228</v>
      </c>
      <c r="F23" t="s">
        <v>1293</v>
      </c>
      <c r="H23" t="s">
        <v>1294</v>
      </c>
      <c r="I23" t="s">
        <v>1295</v>
      </c>
      <c r="J23" t="s">
        <v>1102</v>
      </c>
      <c r="K23" t="s">
        <v>1299</v>
      </c>
      <c r="L23" t="s">
        <v>1193</v>
      </c>
      <c r="M23" t="s">
        <v>390</v>
      </c>
      <c r="N23" t="s">
        <v>1102</v>
      </c>
      <c r="O23" t="s">
        <v>1105</v>
      </c>
      <c r="P23" t="s">
        <v>1300</v>
      </c>
      <c r="Q23" t="s">
        <v>1207</v>
      </c>
      <c r="S23" t="s">
        <v>1208</v>
      </c>
      <c r="T23" t="s">
        <v>99</v>
      </c>
      <c r="W23" t="s">
        <v>1301</v>
      </c>
      <c r="AG23" t="s">
        <v>1302</v>
      </c>
    </row>
    <row r="24" spans="1:45" ht="16">
      <c r="A24" t="s">
        <v>13</v>
      </c>
      <c r="B24" t="s">
        <v>1292</v>
      </c>
      <c r="C24" t="s">
        <v>447</v>
      </c>
      <c r="E24" t="s">
        <v>1228</v>
      </c>
      <c r="F24" t="s">
        <v>1293</v>
      </c>
      <c r="H24" t="s">
        <v>1294</v>
      </c>
      <c r="I24" t="s">
        <v>1101</v>
      </c>
      <c r="J24" t="s">
        <v>1102</v>
      </c>
      <c r="K24" t="s">
        <v>1303</v>
      </c>
      <c r="L24" t="s">
        <v>1193</v>
      </c>
      <c r="M24" t="s">
        <v>390</v>
      </c>
      <c r="N24" t="s">
        <v>1102</v>
      </c>
      <c r="O24" t="s">
        <v>1105</v>
      </c>
      <c r="P24" t="s">
        <v>1304</v>
      </c>
      <c r="Q24" t="s">
        <v>1305</v>
      </c>
      <c r="S24" t="s">
        <v>1208</v>
      </c>
      <c r="T24" t="s">
        <v>41</v>
      </c>
      <c r="U24" t="s">
        <v>1302</v>
      </c>
      <c r="W24" t="s">
        <v>1306</v>
      </c>
      <c r="AS24" s="1" t="s">
        <v>1278</v>
      </c>
    </row>
    <row r="25" spans="1:45">
      <c r="A25" t="s">
        <v>13</v>
      </c>
      <c r="B25" t="s">
        <v>1265</v>
      </c>
      <c r="C25" t="s">
        <v>83</v>
      </c>
      <c r="E25" t="s">
        <v>1228</v>
      </c>
      <c r="F25" t="s">
        <v>107</v>
      </c>
      <c r="H25" t="s">
        <v>1307</v>
      </c>
      <c r="I25" t="s">
        <v>1308</v>
      </c>
      <c r="J25" t="s">
        <v>1102</v>
      </c>
      <c r="K25" t="s">
        <v>1309</v>
      </c>
      <c r="L25" t="s">
        <v>1310</v>
      </c>
      <c r="M25" t="s">
        <v>1311</v>
      </c>
      <c r="N25" t="s">
        <v>1102</v>
      </c>
      <c r="O25" t="s">
        <v>1105</v>
      </c>
      <c r="P25" t="s">
        <v>1312</v>
      </c>
      <c r="Q25" t="s">
        <v>1313</v>
      </c>
      <c r="S25" t="s">
        <v>1285</v>
      </c>
      <c r="T25" t="s">
        <v>99</v>
      </c>
      <c r="W25" t="s">
        <v>1314</v>
      </c>
      <c r="X25" t="s">
        <v>1286</v>
      </c>
      <c r="Y25" t="s">
        <v>1315</v>
      </c>
      <c r="AB25" t="s">
        <v>1132</v>
      </c>
      <c r="AC25" t="s">
        <v>1316</v>
      </c>
      <c r="AD25" t="s">
        <v>1317</v>
      </c>
      <c r="AE25" t="s">
        <v>1318</v>
      </c>
      <c r="AF25" t="s">
        <v>1319</v>
      </c>
      <c r="AH25" t="s">
        <v>1320</v>
      </c>
      <c r="AI25" t="s">
        <v>1138</v>
      </c>
      <c r="AJ25" t="s">
        <v>1139</v>
      </c>
      <c r="AK25" t="s">
        <v>1321</v>
      </c>
      <c r="AM25" t="s">
        <v>1141</v>
      </c>
    </row>
    <row r="26" spans="1:45">
      <c r="A26" t="s">
        <v>13</v>
      </c>
      <c r="B26" t="s">
        <v>1241</v>
      </c>
      <c r="C26" t="s">
        <v>132</v>
      </c>
      <c r="E26" t="s">
        <v>1228</v>
      </c>
      <c r="F26" t="s">
        <v>135</v>
      </c>
      <c r="H26" t="s">
        <v>1322</v>
      </c>
      <c r="I26" t="s">
        <v>1295</v>
      </c>
      <c r="J26" t="s">
        <v>1102</v>
      </c>
      <c r="K26" t="s">
        <v>1323</v>
      </c>
      <c r="L26" t="s">
        <v>1324</v>
      </c>
      <c r="M26" t="s">
        <v>631</v>
      </c>
      <c r="N26" t="s">
        <v>1102</v>
      </c>
      <c r="O26" t="s">
        <v>1105</v>
      </c>
      <c r="P26" t="s">
        <v>1325</v>
      </c>
      <c r="Q26" t="s">
        <v>1326</v>
      </c>
      <c r="S26" t="s">
        <v>1327</v>
      </c>
      <c r="T26" t="s">
        <v>41</v>
      </c>
      <c r="U26" t="s">
        <v>1121</v>
      </c>
      <c r="W26" t="s">
        <v>1328</v>
      </c>
      <c r="AH26" t="s">
        <v>1329</v>
      </c>
    </row>
    <row r="27" spans="1:45">
      <c r="A27" t="s">
        <v>13</v>
      </c>
      <c r="B27" t="s">
        <v>1241</v>
      </c>
      <c r="C27" t="s">
        <v>132</v>
      </c>
      <c r="E27" t="s">
        <v>1228</v>
      </c>
      <c r="F27" t="s">
        <v>783</v>
      </c>
      <c r="H27" t="s">
        <v>1330</v>
      </c>
      <c r="I27" t="s">
        <v>1295</v>
      </c>
      <c r="J27" t="s">
        <v>1102</v>
      </c>
      <c r="K27" t="s">
        <v>1331</v>
      </c>
      <c r="L27" t="s">
        <v>1324</v>
      </c>
      <c r="M27" t="s">
        <v>631</v>
      </c>
      <c r="N27" t="s">
        <v>1102</v>
      </c>
      <c r="O27" t="s">
        <v>1105</v>
      </c>
      <c r="P27" t="s">
        <v>1332</v>
      </c>
      <c r="Q27" t="s">
        <v>1326</v>
      </c>
      <c r="S27" t="s">
        <v>1327</v>
      </c>
      <c r="T27" t="s">
        <v>41</v>
      </c>
      <c r="U27" t="s">
        <v>1121</v>
      </c>
      <c r="W27" t="s">
        <v>1328</v>
      </c>
      <c r="AH27" t="s">
        <v>1329</v>
      </c>
    </row>
    <row r="28" spans="1:45" ht="32">
      <c r="A28" t="s">
        <v>13</v>
      </c>
      <c r="B28" t="s">
        <v>1241</v>
      </c>
      <c r="C28" t="s">
        <v>77</v>
      </c>
      <c r="E28" t="s">
        <v>1228</v>
      </c>
      <c r="F28" t="s">
        <v>884</v>
      </c>
      <c r="H28" t="s">
        <v>1333</v>
      </c>
      <c r="I28" t="s">
        <v>1101</v>
      </c>
      <c r="J28" t="s">
        <v>1102</v>
      </c>
      <c r="K28" t="s">
        <v>1334</v>
      </c>
      <c r="L28" t="s">
        <v>1324</v>
      </c>
      <c r="M28" t="s">
        <v>631</v>
      </c>
      <c r="N28" t="s">
        <v>1199</v>
      </c>
      <c r="O28" t="s">
        <v>1200</v>
      </c>
      <c r="P28" t="s">
        <v>1335</v>
      </c>
      <c r="Q28" t="s">
        <v>1336</v>
      </c>
      <c r="S28" t="s">
        <v>1327</v>
      </c>
      <c r="T28" t="s">
        <v>41</v>
      </c>
      <c r="U28" t="s">
        <v>1337</v>
      </c>
      <c r="W28" t="s">
        <v>1338</v>
      </c>
      <c r="AH28" t="s">
        <v>1339</v>
      </c>
      <c r="AS28" s="1" t="s">
        <v>91</v>
      </c>
    </row>
    <row r="29" spans="1:45" ht="192">
      <c r="A29" t="s">
        <v>13</v>
      </c>
      <c r="B29" t="s">
        <v>1241</v>
      </c>
      <c r="C29" t="s">
        <v>132</v>
      </c>
      <c r="E29" t="s">
        <v>1228</v>
      </c>
      <c r="F29" t="s">
        <v>252</v>
      </c>
      <c r="H29" t="s">
        <v>1340</v>
      </c>
      <c r="I29" t="s">
        <v>1101</v>
      </c>
      <c r="J29" t="s">
        <v>1102</v>
      </c>
      <c r="K29" t="s">
        <v>1341</v>
      </c>
      <c r="L29" t="s">
        <v>1198</v>
      </c>
      <c r="M29" t="s">
        <v>254</v>
      </c>
      <c r="N29" t="s">
        <v>1199</v>
      </c>
      <c r="O29" t="s">
        <v>1200</v>
      </c>
      <c r="P29" t="s">
        <v>1342</v>
      </c>
      <c r="Q29" t="s">
        <v>1207</v>
      </c>
      <c r="S29" t="s">
        <v>1208</v>
      </c>
      <c r="T29" t="s">
        <v>99</v>
      </c>
      <c r="W29" t="s">
        <v>1343</v>
      </c>
      <c r="AG29" t="s">
        <v>1302</v>
      </c>
      <c r="AH29" t="s">
        <v>1344</v>
      </c>
      <c r="AS29" s="1" t="s">
        <v>312</v>
      </c>
    </row>
    <row r="30" spans="1:45" ht="192">
      <c r="A30" t="s">
        <v>13</v>
      </c>
      <c r="B30" t="s">
        <v>1241</v>
      </c>
      <c r="C30" t="s">
        <v>265</v>
      </c>
      <c r="E30" t="s">
        <v>1228</v>
      </c>
      <c r="F30" t="s">
        <v>281</v>
      </c>
      <c r="H30" t="s">
        <v>1345</v>
      </c>
      <c r="I30" t="s">
        <v>1101</v>
      </c>
      <c r="J30" t="s">
        <v>1102</v>
      </c>
      <c r="K30" t="s">
        <v>1346</v>
      </c>
      <c r="L30" t="s">
        <v>1198</v>
      </c>
      <c r="M30" t="s">
        <v>254</v>
      </c>
      <c r="N30" t="s">
        <v>1199</v>
      </c>
      <c r="O30" t="s">
        <v>1200</v>
      </c>
      <c r="P30" t="s">
        <v>1347</v>
      </c>
      <c r="Q30" t="s">
        <v>1348</v>
      </c>
      <c r="S30" t="s">
        <v>1349</v>
      </c>
      <c r="T30" t="s">
        <v>99</v>
      </c>
      <c r="W30" t="s">
        <v>1350</v>
      </c>
      <c r="X30" t="s">
        <v>1351</v>
      </c>
      <c r="Y30" t="s">
        <v>1352</v>
      </c>
      <c r="AB30" t="s">
        <v>1132</v>
      </c>
      <c r="AC30" t="s">
        <v>1353</v>
      </c>
      <c r="AD30" t="s">
        <v>1354</v>
      </c>
      <c r="AE30" t="s">
        <v>1355</v>
      </c>
      <c r="AF30" t="s">
        <v>1356</v>
      </c>
      <c r="AH30" t="s">
        <v>1357</v>
      </c>
      <c r="AI30" t="s">
        <v>1138</v>
      </c>
      <c r="AJ30" t="s">
        <v>1139</v>
      </c>
      <c r="AK30" t="s">
        <v>1358</v>
      </c>
      <c r="AM30" t="s">
        <v>1141</v>
      </c>
      <c r="AS30" s="1" t="s">
        <v>300</v>
      </c>
    </row>
    <row r="31" spans="1:45" ht="160">
      <c r="A31" t="s">
        <v>13</v>
      </c>
      <c r="B31" t="s">
        <v>1241</v>
      </c>
      <c r="C31" t="s">
        <v>132</v>
      </c>
      <c r="E31" t="s">
        <v>1228</v>
      </c>
      <c r="F31" t="s">
        <v>252</v>
      </c>
      <c r="H31" t="s">
        <v>1340</v>
      </c>
      <c r="I31" t="s">
        <v>1101</v>
      </c>
      <c r="J31" t="s">
        <v>1102</v>
      </c>
      <c r="K31" t="s">
        <v>1359</v>
      </c>
      <c r="L31" t="s">
        <v>1198</v>
      </c>
      <c r="M31" t="s">
        <v>254</v>
      </c>
      <c r="N31" t="s">
        <v>1102</v>
      </c>
      <c r="O31" t="s">
        <v>1105</v>
      </c>
      <c r="P31" t="s">
        <v>1360</v>
      </c>
      <c r="Q31" t="s">
        <v>1305</v>
      </c>
      <c r="S31" t="s">
        <v>1208</v>
      </c>
      <c r="T31" t="s">
        <v>41</v>
      </c>
      <c r="U31" t="s">
        <v>1302</v>
      </c>
      <c r="W31" t="s">
        <v>1361</v>
      </c>
      <c r="AS31" s="1" t="s">
        <v>38</v>
      </c>
    </row>
    <row r="32" spans="1:45" ht="16">
      <c r="A32" t="s">
        <v>13</v>
      </c>
      <c r="B32" t="s">
        <v>1227</v>
      </c>
      <c r="C32" t="s">
        <v>70</v>
      </c>
      <c r="E32" t="s">
        <v>1228</v>
      </c>
      <c r="F32" t="s">
        <v>1362</v>
      </c>
      <c r="H32" t="s">
        <v>1363</v>
      </c>
      <c r="I32" t="s">
        <v>1101</v>
      </c>
      <c r="J32" t="s">
        <v>1102</v>
      </c>
      <c r="K32" t="s">
        <v>1364</v>
      </c>
      <c r="L32" t="s">
        <v>1219</v>
      </c>
      <c r="M32" t="s">
        <v>1220</v>
      </c>
      <c r="N32" t="s">
        <v>1102</v>
      </c>
      <c r="O32" t="s">
        <v>1105</v>
      </c>
      <c r="P32" t="s">
        <v>1365</v>
      </c>
      <c r="Q32" t="s">
        <v>1305</v>
      </c>
      <c r="S32" t="s">
        <v>1208</v>
      </c>
      <c r="T32" t="s">
        <v>41</v>
      </c>
      <c r="U32" t="s">
        <v>1302</v>
      </c>
      <c r="W32" t="s">
        <v>1361</v>
      </c>
      <c r="AS32" s="1" t="s">
        <v>1278</v>
      </c>
    </row>
    <row r="33" spans="1:45" ht="16">
      <c r="A33" t="s">
        <v>13</v>
      </c>
      <c r="B33" t="s">
        <v>1265</v>
      </c>
      <c r="C33" t="s">
        <v>60</v>
      </c>
      <c r="E33" t="s">
        <v>1228</v>
      </c>
      <c r="F33" t="s">
        <v>59</v>
      </c>
      <c r="H33" t="s">
        <v>1366</v>
      </c>
      <c r="I33" t="s">
        <v>1367</v>
      </c>
      <c r="J33" t="s">
        <v>1102</v>
      </c>
      <c r="K33" t="s">
        <v>1368</v>
      </c>
      <c r="L33" t="s">
        <v>1369</v>
      </c>
      <c r="M33" t="s">
        <v>1370</v>
      </c>
      <c r="N33" t="s">
        <v>1102</v>
      </c>
      <c r="O33" t="s">
        <v>1105</v>
      </c>
      <c r="P33" t="s">
        <v>1371</v>
      </c>
      <c r="Q33" t="s">
        <v>1313</v>
      </c>
      <c r="S33" t="s">
        <v>1285</v>
      </c>
      <c r="T33" t="s">
        <v>99</v>
      </c>
      <c r="W33" t="s">
        <v>1372</v>
      </c>
      <c r="X33" t="s">
        <v>1286</v>
      </c>
      <c r="Y33" t="s">
        <v>1315</v>
      </c>
      <c r="AB33" t="s">
        <v>1132</v>
      </c>
      <c r="AC33" t="s">
        <v>1373</v>
      </c>
      <c r="AD33" t="s">
        <v>1374</v>
      </c>
      <c r="AE33" t="s">
        <v>1375</v>
      </c>
      <c r="AF33" t="s">
        <v>1376</v>
      </c>
      <c r="AH33" t="s">
        <v>1320</v>
      </c>
      <c r="AI33" t="s">
        <v>1138</v>
      </c>
      <c r="AJ33" t="s">
        <v>1139</v>
      </c>
      <c r="AK33" t="s">
        <v>1321</v>
      </c>
      <c r="AM33" t="s">
        <v>1141</v>
      </c>
      <c r="AS33" s="1" t="s">
        <v>1278</v>
      </c>
    </row>
    <row r="34" spans="1:45" ht="160">
      <c r="A34" t="s">
        <v>13</v>
      </c>
      <c r="B34" t="s">
        <v>1377</v>
      </c>
      <c r="C34" t="s">
        <v>183</v>
      </c>
      <c r="E34" t="s">
        <v>1378</v>
      </c>
      <c r="F34" t="s">
        <v>182</v>
      </c>
      <c r="H34" t="s">
        <v>1379</v>
      </c>
      <c r="I34" t="s">
        <v>1101</v>
      </c>
      <c r="J34" t="s">
        <v>1102</v>
      </c>
      <c r="K34" t="s">
        <v>1380</v>
      </c>
      <c r="L34" t="s">
        <v>1381</v>
      </c>
      <c r="M34" t="s">
        <v>611</v>
      </c>
      <c r="N34" t="s">
        <v>1102</v>
      </c>
      <c r="O34" t="s">
        <v>1105</v>
      </c>
      <c r="P34" t="s">
        <v>1382</v>
      </c>
      <c r="Q34" t="s">
        <v>1383</v>
      </c>
      <c r="S34" t="s">
        <v>1384</v>
      </c>
      <c r="T34" t="s">
        <v>99</v>
      </c>
      <c r="W34" t="s">
        <v>1385</v>
      </c>
      <c r="X34" t="s">
        <v>1386</v>
      </c>
      <c r="Y34" t="s">
        <v>1387</v>
      </c>
      <c r="AB34" t="s">
        <v>1236</v>
      </c>
      <c r="AC34" t="s">
        <v>1388</v>
      </c>
      <c r="AE34" t="s">
        <v>1389</v>
      </c>
      <c r="AH34" t="s">
        <v>1390</v>
      </c>
      <c r="AI34" t="s">
        <v>1138</v>
      </c>
      <c r="AJ34" t="s">
        <v>1139</v>
      </c>
      <c r="AK34" t="s">
        <v>1391</v>
      </c>
      <c r="AM34" t="s">
        <v>1141</v>
      </c>
      <c r="AS34" s="1" t="s">
        <v>610</v>
      </c>
    </row>
    <row r="35" spans="1:45" ht="176">
      <c r="A35" t="s">
        <v>13</v>
      </c>
      <c r="B35" t="s">
        <v>1392</v>
      </c>
      <c r="C35" t="s">
        <v>45</v>
      </c>
      <c r="E35" t="s">
        <v>1378</v>
      </c>
      <c r="F35" t="s">
        <v>598</v>
      </c>
      <c r="H35" t="s">
        <v>1393</v>
      </c>
      <c r="I35" t="s">
        <v>1101</v>
      </c>
      <c r="J35" t="s">
        <v>1102</v>
      </c>
      <c r="K35" t="s">
        <v>1394</v>
      </c>
      <c r="L35" t="s">
        <v>1381</v>
      </c>
      <c r="M35" t="s">
        <v>601</v>
      </c>
      <c r="N35" t="s">
        <v>1102</v>
      </c>
      <c r="O35" t="s">
        <v>1105</v>
      </c>
      <c r="P35" t="s">
        <v>1395</v>
      </c>
      <c r="Q35" t="s">
        <v>1254</v>
      </c>
      <c r="S35" t="s">
        <v>1255</v>
      </c>
      <c r="T35" t="s">
        <v>99</v>
      </c>
      <c r="W35" t="s">
        <v>1396</v>
      </c>
      <c r="X35" t="s">
        <v>1397</v>
      </c>
      <c r="Y35" t="s">
        <v>1398</v>
      </c>
      <c r="AB35" t="s">
        <v>1132</v>
      </c>
      <c r="AC35" t="s">
        <v>1399</v>
      </c>
      <c r="AD35" t="s">
        <v>1400</v>
      </c>
      <c r="AE35" t="s">
        <v>1401</v>
      </c>
      <c r="AF35" t="s">
        <v>1402</v>
      </c>
      <c r="AH35" t="s">
        <v>1403</v>
      </c>
      <c r="AI35" t="s">
        <v>1138</v>
      </c>
      <c r="AJ35" t="s">
        <v>1139</v>
      </c>
      <c r="AK35" t="s">
        <v>1264</v>
      </c>
      <c r="AM35" t="s">
        <v>1141</v>
      </c>
      <c r="AS35" s="1" t="s">
        <v>600</v>
      </c>
    </row>
    <row r="36" spans="1:45" ht="176">
      <c r="A36" t="s">
        <v>13</v>
      </c>
      <c r="B36" t="s">
        <v>1392</v>
      </c>
      <c r="C36" t="s">
        <v>45</v>
      </c>
      <c r="E36" t="s">
        <v>1378</v>
      </c>
      <c r="F36" t="s">
        <v>234</v>
      </c>
      <c r="H36" t="s">
        <v>1404</v>
      </c>
      <c r="I36" t="s">
        <v>1114</v>
      </c>
      <c r="J36" t="s">
        <v>1102</v>
      </c>
      <c r="K36" t="s">
        <v>1405</v>
      </c>
      <c r="L36" t="s">
        <v>1406</v>
      </c>
      <c r="M36" t="s">
        <v>1407</v>
      </c>
      <c r="N36" t="s">
        <v>1102</v>
      </c>
      <c r="O36" t="s">
        <v>1105</v>
      </c>
      <c r="P36" t="s">
        <v>1408</v>
      </c>
      <c r="Q36" t="s">
        <v>1409</v>
      </c>
      <c r="S36" t="s">
        <v>1410</v>
      </c>
      <c r="T36" t="s">
        <v>99</v>
      </c>
      <c r="W36" t="s">
        <v>1411</v>
      </c>
      <c r="X36" t="s">
        <v>1412</v>
      </c>
      <c r="Y36" t="s">
        <v>1413</v>
      </c>
      <c r="AB36" t="s">
        <v>1414</v>
      </c>
      <c r="AC36" t="s">
        <v>1415</v>
      </c>
      <c r="AD36" t="s">
        <v>1416</v>
      </c>
      <c r="AE36" t="s">
        <v>1417</v>
      </c>
      <c r="AF36" t="s">
        <v>1418</v>
      </c>
      <c r="AH36" t="s">
        <v>1419</v>
      </c>
      <c r="AI36" t="s">
        <v>1138</v>
      </c>
      <c r="AJ36" t="s">
        <v>1139</v>
      </c>
      <c r="AK36" t="s">
        <v>1420</v>
      </c>
      <c r="AM36" t="s">
        <v>1141</v>
      </c>
      <c r="AS36" s="1" t="s">
        <v>260</v>
      </c>
    </row>
    <row r="37" spans="1:45" ht="32">
      <c r="A37" t="s">
        <v>13</v>
      </c>
      <c r="B37" t="s">
        <v>1392</v>
      </c>
      <c r="C37" t="s">
        <v>54</v>
      </c>
      <c r="E37" t="s">
        <v>1378</v>
      </c>
      <c r="F37" t="s">
        <v>777</v>
      </c>
      <c r="H37" t="s">
        <v>1421</v>
      </c>
      <c r="I37" t="s">
        <v>1114</v>
      </c>
      <c r="J37" t="s">
        <v>1102</v>
      </c>
      <c r="K37" t="s">
        <v>1422</v>
      </c>
      <c r="L37" t="s">
        <v>1423</v>
      </c>
      <c r="M37" t="s">
        <v>888</v>
      </c>
      <c r="N37" t="s">
        <v>1102</v>
      </c>
      <c r="O37" t="s">
        <v>1105</v>
      </c>
      <c r="P37" t="s">
        <v>1424</v>
      </c>
      <c r="Q37" t="s">
        <v>1409</v>
      </c>
      <c r="S37" t="s">
        <v>1410</v>
      </c>
      <c r="T37" t="s">
        <v>99</v>
      </c>
      <c r="W37" t="s">
        <v>1425</v>
      </c>
      <c r="X37" t="s">
        <v>1412</v>
      </c>
      <c r="Y37" t="s">
        <v>1413</v>
      </c>
      <c r="AB37" t="s">
        <v>1414</v>
      </c>
      <c r="AC37" t="s">
        <v>1426</v>
      </c>
      <c r="AD37" t="s">
        <v>1427</v>
      </c>
      <c r="AE37" t="s">
        <v>1428</v>
      </c>
      <c r="AF37" t="s">
        <v>1429</v>
      </c>
      <c r="AH37" t="s">
        <v>1430</v>
      </c>
      <c r="AI37" t="s">
        <v>1138</v>
      </c>
      <c r="AJ37" t="s">
        <v>1139</v>
      </c>
      <c r="AK37" t="s">
        <v>1420</v>
      </c>
      <c r="AM37" t="s">
        <v>1141</v>
      </c>
      <c r="AS37" s="1" t="s">
        <v>887</v>
      </c>
    </row>
    <row r="38" spans="1:45" ht="16">
      <c r="A38" t="s">
        <v>13</v>
      </c>
      <c r="B38" t="s">
        <v>1431</v>
      </c>
      <c r="C38" t="s">
        <v>195</v>
      </c>
      <c r="E38" t="s">
        <v>1432</v>
      </c>
      <c r="F38" t="s">
        <v>579</v>
      </c>
      <c r="H38" t="s">
        <v>1433</v>
      </c>
      <c r="I38" t="s">
        <v>1101</v>
      </c>
      <c r="J38" t="s">
        <v>1102</v>
      </c>
      <c r="K38" t="s">
        <v>1434</v>
      </c>
      <c r="L38" t="s">
        <v>1435</v>
      </c>
      <c r="M38" t="s">
        <v>581</v>
      </c>
      <c r="N38" t="s">
        <v>1102</v>
      </c>
      <c r="O38" t="s">
        <v>1105</v>
      </c>
      <c r="P38" t="s">
        <v>1436</v>
      </c>
      <c r="Q38" t="s">
        <v>1437</v>
      </c>
      <c r="S38" t="s">
        <v>1208</v>
      </c>
      <c r="T38" t="s">
        <v>99</v>
      </c>
      <c r="W38" t="s">
        <v>1438</v>
      </c>
      <c r="AG38" t="s">
        <v>1439</v>
      </c>
      <c r="AS38" s="1" t="s">
        <v>1278</v>
      </c>
    </row>
    <row r="39" spans="1:45" ht="16">
      <c r="A39" t="s">
        <v>13</v>
      </c>
      <c r="B39" t="s">
        <v>1431</v>
      </c>
      <c r="C39" t="s">
        <v>195</v>
      </c>
      <c r="E39" t="s">
        <v>1432</v>
      </c>
      <c r="F39" t="s">
        <v>579</v>
      </c>
      <c r="H39" t="s">
        <v>1433</v>
      </c>
      <c r="I39" t="s">
        <v>1101</v>
      </c>
      <c r="J39" t="s">
        <v>1102</v>
      </c>
      <c r="K39" t="s">
        <v>1440</v>
      </c>
      <c r="L39" t="s">
        <v>1435</v>
      </c>
      <c r="M39" t="s">
        <v>581</v>
      </c>
      <c r="N39" t="s">
        <v>1102</v>
      </c>
      <c r="O39" t="s">
        <v>1105</v>
      </c>
      <c r="P39" t="s">
        <v>1441</v>
      </c>
      <c r="Q39" t="s">
        <v>1442</v>
      </c>
      <c r="S39" t="s">
        <v>1232</v>
      </c>
      <c r="T39" t="s">
        <v>41</v>
      </c>
      <c r="U39" t="s">
        <v>1443</v>
      </c>
      <c r="W39" t="s">
        <v>1444</v>
      </c>
      <c r="AS39" s="1" t="s">
        <v>1278</v>
      </c>
    </row>
    <row r="40" spans="1:45" ht="16">
      <c r="A40" t="s">
        <v>13</v>
      </c>
      <c r="B40" t="s">
        <v>1431</v>
      </c>
      <c r="C40" t="s">
        <v>195</v>
      </c>
      <c r="E40" t="s">
        <v>1432</v>
      </c>
      <c r="F40" t="s">
        <v>546</v>
      </c>
      <c r="H40" t="s">
        <v>1445</v>
      </c>
      <c r="I40" t="s">
        <v>1101</v>
      </c>
      <c r="J40" t="s">
        <v>1102</v>
      </c>
      <c r="K40" t="s">
        <v>1446</v>
      </c>
      <c r="L40" t="s">
        <v>1447</v>
      </c>
      <c r="M40" t="s">
        <v>645</v>
      </c>
      <c r="N40" t="s">
        <v>1102</v>
      </c>
      <c r="O40" t="s">
        <v>1105</v>
      </c>
      <c r="P40" t="s">
        <v>1448</v>
      </c>
      <c r="Q40" t="s">
        <v>1409</v>
      </c>
      <c r="S40" t="s">
        <v>1410</v>
      </c>
      <c r="T40" t="s">
        <v>99</v>
      </c>
      <c r="W40" t="s">
        <v>1449</v>
      </c>
      <c r="X40" t="s">
        <v>1450</v>
      </c>
      <c r="Y40" t="s">
        <v>1451</v>
      </c>
      <c r="AB40" t="s">
        <v>1414</v>
      </c>
      <c r="AC40" t="s">
        <v>1452</v>
      </c>
      <c r="AD40" t="s">
        <v>1453</v>
      </c>
      <c r="AE40" t="s">
        <v>1454</v>
      </c>
      <c r="AF40" t="s">
        <v>1455</v>
      </c>
      <c r="AH40" t="s">
        <v>1456</v>
      </c>
      <c r="AI40" t="s">
        <v>1138</v>
      </c>
      <c r="AJ40" t="s">
        <v>1139</v>
      </c>
      <c r="AK40" t="s">
        <v>1457</v>
      </c>
      <c r="AM40" t="s">
        <v>1141</v>
      </c>
      <c r="AS40" s="1" t="s">
        <v>1278</v>
      </c>
    </row>
    <row r="41" spans="1:45" ht="16">
      <c r="A41" t="s">
        <v>13</v>
      </c>
      <c r="B41" t="s">
        <v>1431</v>
      </c>
      <c r="C41" t="s">
        <v>195</v>
      </c>
      <c r="E41" t="s">
        <v>1432</v>
      </c>
      <c r="F41" t="s">
        <v>546</v>
      </c>
      <c r="H41" t="s">
        <v>1445</v>
      </c>
      <c r="I41" t="s">
        <v>1114</v>
      </c>
      <c r="J41" t="s">
        <v>1102</v>
      </c>
      <c r="K41" t="s">
        <v>1458</v>
      </c>
      <c r="L41" t="s">
        <v>1459</v>
      </c>
      <c r="M41" t="s">
        <v>549</v>
      </c>
      <c r="N41" t="s">
        <v>1102</v>
      </c>
      <c r="O41" t="s">
        <v>1105</v>
      </c>
      <c r="P41" t="s">
        <v>1460</v>
      </c>
      <c r="Q41" t="s">
        <v>1305</v>
      </c>
      <c r="S41" t="s">
        <v>1208</v>
      </c>
      <c r="T41" t="s">
        <v>41</v>
      </c>
      <c r="U41" t="s">
        <v>1439</v>
      </c>
      <c r="W41" t="s">
        <v>1461</v>
      </c>
      <c r="AS41" s="1" t="s">
        <v>1278</v>
      </c>
    </row>
    <row r="42" spans="1:45" ht="208">
      <c r="A42" t="s">
        <v>13</v>
      </c>
      <c r="B42" t="s">
        <v>1462</v>
      </c>
      <c r="C42" t="s">
        <v>208</v>
      </c>
      <c r="E42" t="s">
        <v>1432</v>
      </c>
      <c r="F42" t="s">
        <v>207</v>
      </c>
      <c r="H42" t="s">
        <v>1463</v>
      </c>
      <c r="I42" t="s">
        <v>1114</v>
      </c>
      <c r="J42" t="s">
        <v>1102</v>
      </c>
      <c r="K42" t="s">
        <v>1464</v>
      </c>
      <c r="L42" t="s">
        <v>1465</v>
      </c>
      <c r="M42" t="s">
        <v>671</v>
      </c>
      <c r="N42" t="s">
        <v>1199</v>
      </c>
      <c r="O42" t="s">
        <v>1200</v>
      </c>
      <c r="P42" t="s">
        <v>1466</v>
      </c>
      <c r="Q42" t="s">
        <v>1254</v>
      </c>
      <c r="S42" t="s">
        <v>1255</v>
      </c>
      <c r="T42" t="s">
        <v>99</v>
      </c>
      <c r="W42" t="s">
        <v>1467</v>
      </c>
      <c r="X42" t="s">
        <v>1257</v>
      </c>
      <c r="Y42" t="s">
        <v>1258</v>
      </c>
      <c r="AB42" t="s">
        <v>1132</v>
      </c>
      <c r="AC42" t="s">
        <v>1468</v>
      </c>
      <c r="AD42" t="s">
        <v>1469</v>
      </c>
      <c r="AE42" t="s">
        <v>1470</v>
      </c>
      <c r="AF42" t="s">
        <v>1471</v>
      </c>
      <c r="AH42" t="s">
        <v>1472</v>
      </c>
      <c r="AI42" t="s">
        <v>1138</v>
      </c>
      <c r="AJ42" t="s">
        <v>1139</v>
      </c>
      <c r="AK42" t="s">
        <v>1473</v>
      </c>
      <c r="AM42" t="s">
        <v>1141</v>
      </c>
      <c r="AS42" s="1" t="s">
        <v>670</v>
      </c>
    </row>
    <row r="43" spans="1:45" ht="64">
      <c r="A43" t="s">
        <v>13</v>
      </c>
      <c r="B43" t="s">
        <v>1431</v>
      </c>
      <c r="C43" t="s">
        <v>195</v>
      </c>
      <c r="E43" t="s">
        <v>1432</v>
      </c>
      <c r="F43" t="s">
        <v>694</v>
      </c>
      <c r="H43" t="s">
        <v>1474</v>
      </c>
      <c r="I43" t="s">
        <v>1114</v>
      </c>
      <c r="J43" t="s">
        <v>1102</v>
      </c>
      <c r="K43" t="s">
        <v>1475</v>
      </c>
      <c r="L43" t="s">
        <v>1476</v>
      </c>
      <c r="M43" t="s">
        <v>697</v>
      </c>
      <c r="N43" t="s">
        <v>1102</v>
      </c>
      <c r="O43" t="s">
        <v>1105</v>
      </c>
      <c r="P43" t="s">
        <v>1477</v>
      </c>
      <c r="Q43" t="s">
        <v>1478</v>
      </c>
      <c r="S43" t="s">
        <v>1479</v>
      </c>
      <c r="T43" t="s">
        <v>99</v>
      </c>
      <c r="W43" t="s">
        <v>1480</v>
      </c>
      <c r="X43" t="s">
        <v>1481</v>
      </c>
      <c r="Y43" t="s">
        <v>1482</v>
      </c>
      <c r="AB43" t="s">
        <v>1236</v>
      </c>
      <c r="AC43" t="s">
        <v>1483</v>
      </c>
      <c r="AE43" t="s">
        <v>1484</v>
      </c>
      <c r="AH43" t="s">
        <v>1485</v>
      </c>
      <c r="AI43" t="s">
        <v>1138</v>
      </c>
      <c r="AJ43" t="s">
        <v>1139</v>
      </c>
      <c r="AK43" t="s">
        <v>1486</v>
      </c>
      <c r="AM43" t="s">
        <v>1141</v>
      </c>
      <c r="AS43" s="1" t="s">
        <v>696</v>
      </c>
    </row>
    <row r="44" spans="1:45" ht="192">
      <c r="A44" t="s">
        <v>13</v>
      </c>
      <c r="B44" t="s">
        <v>1487</v>
      </c>
      <c r="C44" t="s">
        <v>224</v>
      </c>
      <c r="E44" t="s">
        <v>1488</v>
      </c>
      <c r="F44" t="s">
        <v>221</v>
      </c>
      <c r="H44" t="s">
        <v>1489</v>
      </c>
      <c r="I44" t="s">
        <v>1101</v>
      </c>
      <c r="J44" t="s">
        <v>1102</v>
      </c>
      <c r="K44" t="s">
        <v>1490</v>
      </c>
      <c r="L44" t="s">
        <v>67</v>
      </c>
      <c r="M44" t="s">
        <v>227</v>
      </c>
      <c r="N44" t="s">
        <v>1102</v>
      </c>
      <c r="O44" t="s">
        <v>1105</v>
      </c>
      <c r="P44" t="s">
        <v>1491</v>
      </c>
      <c r="Q44" t="s">
        <v>1305</v>
      </c>
      <c r="S44" t="s">
        <v>1208</v>
      </c>
      <c r="T44" t="s">
        <v>41</v>
      </c>
      <c r="U44" t="s">
        <v>1492</v>
      </c>
      <c r="W44" t="s">
        <v>1493</v>
      </c>
      <c r="AS44" s="1" t="s">
        <v>226</v>
      </c>
    </row>
    <row r="45" spans="1:45" ht="48">
      <c r="A45" t="s">
        <v>13</v>
      </c>
      <c r="B45" t="s">
        <v>1487</v>
      </c>
      <c r="C45" t="s">
        <v>224</v>
      </c>
      <c r="E45" t="s">
        <v>1488</v>
      </c>
      <c r="F45" t="s">
        <v>499</v>
      </c>
      <c r="H45" t="s">
        <v>1494</v>
      </c>
      <c r="I45" t="s">
        <v>1114</v>
      </c>
      <c r="J45" t="s">
        <v>1102</v>
      </c>
      <c r="K45" t="s">
        <v>1495</v>
      </c>
      <c r="L45" t="s">
        <v>1496</v>
      </c>
      <c r="M45" t="s">
        <v>503</v>
      </c>
      <c r="N45" t="s">
        <v>1102</v>
      </c>
      <c r="O45" t="s">
        <v>1105</v>
      </c>
      <c r="P45" t="s">
        <v>1497</v>
      </c>
      <c r="Q45" t="s">
        <v>1284</v>
      </c>
      <c r="S45" t="s">
        <v>1285</v>
      </c>
      <c r="T45" t="s">
        <v>41</v>
      </c>
      <c r="U45" t="s">
        <v>1498</v>
      </c>
      <c r="W45" t="s">
        <v>1499</v>
      </c>
      <c r="AH45" t="s">
        <v>1320</v>
      </c>
      <c r="AS45" s="1" t="s">
        <v>502</v>
      </c>
    </row>
    <row r="46" spans="1:45" ht="16">
      <c r="A46" t="s">
        <v>13</v>
      </c>
      <c r="B46" t="s">
        <v>1500</v>
      </c>
      <c r="C46" t="s">
        <v>1501</v>
      </c>
      <c r="E46" t="s">
        <v>1488</v>
      </c>
      <c r="F46" t="s">
        <v>1502</v>
      </c>
      <c r="H46" t="s">
        <v>1503</v>
      </c>
      <c r="I46" t="s">
        <v>1367</v>
      </c>
      <c r="J46" t="s">
        <v>1102</v>
      </c>
      <c r="K46" t="s">
        <v>1504</v>
      </c>
      <c r="L46" t="s">
        <v>1505</v>
      </c>
      <c r="M46" t="s">
        <v>1506</v>
      </c>
      <c r="N46" t="s">
        <v>1102</v>
      </c>
      <c r="O46" t="s">
        <v>1105</v>
      </c>
      <c r="P46" t="s">
        <v>1507</v>
      </c>
      <c r="Q46" t="s">
        <v>1313</v>
      </c>
      <c r="S46" t="s">
        <v>1285</v>
      </c>
      <c r="T46" t="s">
        <v>99</v>
      </c>
      <c r="W46" t="s">
        <v>1508</v>
      </c>
      <c r="X46" t="s">
        <v>1509</v>
      </c>
      <c r="Y46" t="s">
        <v>1510</v>
      </c>
      <c r="AB46" t="s">
        <v>1132</v>
      </c>
      <c r="AC46" t="s">
        <v>1511</v>
      </c>
      <c r="AD46" t="s">
        <v>1512</v>
      </c>
      <c r="AE46" t="s">
        <v>1513</v>
      </c>
      <c r="AF46" t="s">
        <v>1514</v>
      </c>
      <c r="AH46" t="s">
        <v>1288</v>
      </c>
      <c r="AI46" t="s">
        <v>1138</v>
      </c>
      <c r="AJ46" t="s">
        <v>1139</v>
      </c>
      <c r="AK46" t="s">
        <v>1321</v>
      </c>
      <c r="AM46" t="s">
        <v>1141</v>
      </c>
      <c r="AS46" s="1" t="s">
        <v>1278</v>
      </c>
    </row>
    <row r="47" spans="1:45">
      <c r="A47" t="s">
        <v>13</v>
      </c>
      <c r="B47" t="s">
        <v>1515</v>
      </c>
      <c r="C47" t="s">
        <v>1516</v>
      </c>
      <c r="E47" t="s">
        <v>1517</v>
      </c>
      <c r="F47" t="s">
        <v>1518</v>
      </c>
      <c r="G47" t="s">
        <v>1519</v>
      </c>
      <c r="I47" t="s">
        <v>1114</v>
      </c>
      <c r="J47" t="s">
        <v>1102</v>
      </c>
      <c r="K47" t="s">
        <v>1520</v>
      </c>
      <c r="L47" t="s">
        <v>1521</v>
      </c>
      <c r="M47" t="s">
        <v>1522</v>
      </c>
      <c r="N47" t="s">
        <v>1102</v>
      </c>
      <c r="O47" t="s">
        <v>1105</v>
      </c>
      <c r="P47" t="s">
        <v>1523</v>
      </c>
      <c r="Q47" t="s">
        <v>1524</v>
      </c>
      <c r="R47" t="s">
        <v>1525</v>
      </c>
      <c r="S47" t="s">
        <v>1526</v>
      </c>
      <c r="T47" t="s">
        <v>99</v>
      </c>
      <c r="W47" t="s">
        <v>1527</v>
      </c>
      <c r="X47" t="s">
        <v>1528</v>
      </c>
      <c r="Y47" t="s">
        <v>1529</v>
      </c>
      <c r="AB47" t="s">
        <v>1132</v>
      </c>
      <c r="AC47" t="s">
        <v>1530</v>
      </c>
      <c r="AD47" t="s">
        <v>1531</v>
      </c>
      <c r="AE47" t="s">
        <v>1532</v>
      </c>
      <c r="AF47" t="s">
        <v>1533</v>
      </c>
      <c r="AI47" t="s">
        <v>1138</v>
      </c>
      <c r="AJ47" t="s">
        <v>1139</v>
      </c>
      <c r="AK47" t="s">
        <v>1534</v>
      </c>
    </row>
    <row r="48" spans="1:45">
      <c r="A48" t="s">
        <v>13</v>
      </c>
      <c r="B48" t="s">
        <v>1535</v>
      </c>
      <c r="C48" t="s">
        <v>117</v>
      </c>
      <c r="E48" t="s">
        <v>1536</v>
      </c>
      <c r="F48" t="s">
        <v>116</v>
      </c>
      <c r="H48" t="s">
        <v>1537</v>
      </c>
      <c r="I48" t="s">
        <v>1101</v>
      </c>
      <c r="J48" t="s">
        <v>1102</v>
      </c>
      <c r="K48" t="s">
        <v>1538</v>
      </c>
      <c r="L48" t="s">
        <v>1539</v>
      </c>
      <c r="M48" t="s">
        <v>341</v>
      </c>
      <c r="N48" t="s">
        <v>1102</v>
      </c>
      <c r="O48" t="s">
        <v>1105</v>
      </c>
      <c r="P48" t="s">
        <v>1540</v>
      </c>
      <c r="Q48" t="s">
        <v>1284</v>
      </c>
      <c r="S48" t="s">
        <v>1285</v>
      </c>
      <c r="T48" t="s">
        <v>41</v>
      </c>
      <c r="U48" t="s">
        <v>1541</v>
      </c>
      <c r="W48" t="s">
        <v>1542</v>
      </c>
      <c r="AH48" t="s">
        <v>1288</v>
      </c>
    </row>
    <row r="49" spans="1:45">
      <c r="A49" t="s">
        <v>13</v>
      </c>
      <c r="B49" t="s">
        <v>1543</v>
      </c>
      <c r="C49" t="s">
        <v>239</v>
      </c>
      <c r="E49" t="s">
        <v>1536</v>
      </c>
      <c r="F49" t="s">
        <v>353</v>
      </c>
      <c r="H49" t="s">
        <v>1544</v>
      </c>
      <c r="I49" t="s">
        <v>1295</v>
      </c>
      <c r="J49" t="s">
        <v>1102</v>
      </c>
      <c r="K49" t="s">
        <v>1545</v>
      </c>
      <c r="L49" t="s">
        <v>1546</v>
      </c>
      <c r="M49" t="s">
        <v>1547</v>
      </c>
      <c r="N49" t="s">
        <v>1102</v>
      </c>
      <c r="O49" t="s">
        <v>1105</v>
      </c>
      <c r="P49" t="s">
        <v>1548</v>
      </c>
      <c r="Q49" t="s">
        <v>1549</v>
      </c>
      <c r="R49" t="s">
        <v>1550</v>
      </c>
      <c r="S49" t="s">
        <v>1551</v>
      </c>
      <c r="T49" t="s">
        <v>99</v>
      </c>
      <c r="W49" t="s">
        <v>1552</v>
      </c>
      <c r="X49" t="s">
        <v>1553</v>
      </c>
      <c r="Y49" t="s">
        <v>1554</v>
      </c>
      <c r="AB49" t="s">
        <v>1132</v>
      </c>
      <c r="AC49" t="s">
        <v>1555</v>
      </c>
      <c r="AD49" t="s">
        <v>1556</v>
      </c>
      <c r="AE49" t="s">
        <v>1557</v>
      </c>
      <c r="AF49" t="s">
        <v>1558</v>
      </c>
      <c r="AH49" t="s">
        <v>1339</v>
      </c>
      <c r="AI49" t="s">
        <v>1138</v>
      </c>
      <c r="AJ49" t="s">
        <v>1139</v>
      </c>
      <c r="AK49" t="s">
        <v>1559</v>
      </c>
      <c r="AM49" t="s">
        <v>1141</v>
      </c>
    </row>
    <row r="50" spans="1:45">
      <c r="A50" t="s">
        <v>13</v>
      </c>
      <c r="B50" t="s">
        <v>1543</v>
      </c>
      <c r="C50" t="s">
        <v>239</v>
      </c>
      <c r="E50" t="s">
        <v>1536</v>
      </c>
      <c r="F50" t="s">
        <v>238</v>
      </c>
      <c r="H50" t="s">
        <v>1560</v>
      </c>
      <c r="I50" t="s">
        <v>1114</v>
      </c>
      <c r="J50" t="s">
        <v>1102</v>
      </c>
      <c r="K50" t="s">
        <v>1561</v>
      </c>
      <c r="L50" t="s">
        <v>1562</v>
      </c>
      <c r="M50" t="s">
        <v>243</v>
      </c>
      <c r="N50" t="s">
        <v>1102</v>
      </c>
      <c r="O50" t="s">
        <v>1105</v>
      </c>
      <c r="P50" t="s">
        <v>1563</v>
      </c>
      <c r="Q50" t="s">
        <v>1284</v>
      </c>
      <c r="S50" t="s">
        <v>1285</v>
      </c>
      <c r="T50" t="s">
        <v>41</v>
      </c>
      <c r="U50" t="s">
        <v>1541</v>
      </c>
      <c r="W50" t="s">
        <v>1564</v>
      </c>
      <c r="AH50" t="s">
        <v>1288</v>
      </c>
    </row>
    <row r="51" spans="1:45">
      <c r="A51" t="s">
        <v>13</v>
      </c>
      <c r="B51" t="s">
        <v>1565</v>
      </c>
      <c r="C51" t="s">
        <v>94</v>
      </c>
      <c r="E51" t="s">
        <v>1536</v>
      </c>
      <c r="F51" t="s">
        <v>93</v>
      </c>
      <c r="H51" t="s">
        <v>1566</v>
      </c>
      <c r="I51" t="s">
        <v>1114</v>
      </c>
      <c r="J51" t="s">
        <v>1102</v>
      </c>
      <c r="K51" t="s">
        <v>1567</v>
      </c>
      <c r="L51" t="s">
        <v>1568</v>
      </c>
      <c r="M51" t="s">
        <v>98</v>
      </c>
      <c r="N51" t="s">
        <v>1102</v>
      </c>
      <c r="O51" t="s">
        <v>1105</v>
      </c>
      <c r="P51" t="s">
        <v>1569</v>
      </c>
      <c r="Q51" t="s">
        <v>1254</v>
      </c>
      <c r="S51" t="s">
        <v>1255</v>
      </c>
      <c r="T51" t="s">
        <v>99</v>
      </c>
      <c r="W51" t="s">
        <v>1570</v>
      </c>
      <c r="X51" t="s">
        <v>1571</v>
      </c>
      <c r="Y51" t="s">
        <v>1572</v>
      </c>
      <c r="AB51" t="s">
        <v>1132</v>
      </c>
      <c r="AC51" t="s">
        <v>1573</v>
      </c>
      <c r="AD51" t="s">
        <v>1574</v>
      </c>
      <c r="AE51" t="s">
        <v>1575</v>
      </c>
      <c r="AF51" t="s">
        <v>1576</v>
      </c>
      <c r="AH51" t="s">
        <v>1577</v>
      </c>
      <c r="AI51" t="s">
        <v>1138</v>
      </c>
      <c r="AJ51" t="s">
        <v>1139</v>
      </c>
      <c r="AK51" t="s">
        <v>1578</v>
      </c>
      <c r="AM51" t="s">
        <v>1141</v>
      </c>
    </row>
    <row r="52" spans="1:45">
      <c r="A52" t="s">
        <v>13</v>
      </c>
      <c r="B52" t="s">
        <v>1111</v>
      </c>
      <c r="C52" t="s">
        <v>1156</v>
      </c>
      <c r="E52" t="s">
        <v>1099</v>
      </c>
      <c r="F52" t="s">
        <v>1579</v>
      </c>
      <c r="I52" t="s">
        <v>1114</v>
      </c>
      <c r="J52" t="s">
        <v>1580</v>
      </c>
      <c r="K52" t="s">
        <v>1581</v>
      </c>
      <c r="L52" t="s">
        <v>1116</v>
      </c>
      <c r="M52" t="s">
        <v>1582</v>
      </c>
      <c r="N52" t="s">
        <v>1580</v>
      </c>
      <c r="O52" t="s">
        <v>1583</v>
      </c>
      <c r="P52" t="s">
        <v>1584</v>
      </c>
      <c r="Q52" t="s">
        <v>1119</v>
      </c>
      <c r="S52" t="s">
        <v>1120</v>
      </c>
      <c r="T52" t="s">
        <v>41</v>
      </c>
      <c r="U52" t="s">
        <v>1121</v>
      </c>
      <c r="W52" t="s">
        <v>1585</v>
      </c>
      <c r="AH52" t="s">
        <v>1167</v>
      </c>
    </row>
    <row r="53" spans="1:45">
      <c r="A53" t="s">
        <v>13</v>
      </c>
      <c r="B53" t="s">
        <v>1111</v>
      </c>
      <c r="C53" t="s">
        <v>1112</v>
      </c>
      <c r="E53" t="s">
        <v>1099</v>
      </c>
      <c r="F53" t="s">
        <v>1124</v>
      </c>
      <c r="I53" t="s">
        <v>1114</v>
      </c>
      <c r="J53" t="s">
        <v>1580</v>
      </c>
      <c r="K53" t="s">
        <v>1586</v>
      </c>
      <c r="L53" t="s">
        <v>1159</v>
      </c>
      <c r="M53" t="s">
        <v>1587</v>
      </c>
      <c r="N53" t="s">
        <v>1580</v>
      </c>
      <c r="O53" t="s">
        <v>1583</v>
      </c>
      <c r="P53" t="s">
        <v>1588</v>
      </c>
      <c r="Q53" t="s">
        <v>1119</v>
      </c>
      <c r="S53" t="s">
        <v>1120</v>
      </c>
      <c r="T53" t="s">
        <v>41</v>
      </c>
      <c r="U53" t="s">
        <v>1121</v>
      </c>
      <c r="W53" t="s">
        <v>1589</v>
      </c>
      <c r="AH53" t="s">
        <v>1590</v>
      </c>
    </row>
    <row r="54" spans="1:45">
      <c r="A54" t="s">
        <v>13</v>
      </c>
      <c r="B54" t="s">
        <v>1142</v>
      </c>
      <c r="C54" t="s">
        <v>1143</v>
      </c>
      <c r="E54" t="s">
        <v>1099</v>
      </c>
      <c r="F54" t="s">
        <v>1144</v>
      </c>
      <c r="I54" t="s">
        <v>1101</v>
      </c>
      <c r="J54" t="s">
        <v>1580</v>
      </c>
      <c r="K54" t="s">
        <v>1591</v>
      </c>
      <c r="L54" t="s">
        <v>1146</v>
      </c>
      <c r="M54" t="s">
        <v>1147</v>
      </c>
      <c r="N54" t="s">
        <v>1580</v>
      </c>
      <c r="O54" t="s">
        <v>1583</v>
      </c>
      <c r="P54" t="s">
        <v>1592</v>
      </c>
      <c r="Q54" t="s">
        <v>1119</v>
      </c>
      <c r="S54" t="s">
        <v>1120</v>
      </c>
      <c r="T54" t="s">
        <v>41</v>
      </c>
      <c r="U54" t="s">
        <v>1121</v>
      </c>
      <c r="W54" t="s">
        <v>1593</v>
      </c>
      <c r="AH54" t="s">
        <v>1594</v>
      </c>
    </row>
    <row r="55" spans="1:45">
      <c r="A55" t="s">
        <v>13</v>
      </c>
      <c r="B55" t="s">
        <v>1111</v>
      </c>
      <c r="C55" t="s">
        <v>1595</v>
      </c>
      <c r="E55" t="s">
        <v>1099</v>
      </c>
      <c r="F55" t="s">
        <v>1596</v>
      </c>
      <c r="I55" t="s">
        <v>1114</v>
      </c>
      <c r="J55" t="s">
        <v>1580</v>
      </c>
      <c r="K55" t="s">
        <v>1597</v>
      </c>
      <c r="L55" t="s">
        <v>1116</v>
      </c>
      <c r="M55" t="s">
        <v>1598</v>
      </c>
      <c r="N55" t="s">
        <v>1580</v>
      </c>
      <c r="O55" t="s">
        <v>1583</v>
      </c>
      <c r="P55" t="s">
        <v>1599</v>
      </c>
      <c r="Q55" t="s">
        <v>1129</v>
      </c>
      <c r="S55" t="s">
        <v>1120</v>
      </c>
      <c r="T55" t="s">
        <v>99</v>
      </c>
      <c r="W55" t="s">
        <v>1600</v>
      </c>
      <c r="X55" t="s">
        <v>1121</v>
      </c>
      <c r="Y55" t="s">
        <v>1131</v>
      </c>
      <c r="AB55" t="s">
        <v>1132</v>
      </c>
      <c r="AC55" t="s">
        <v>1601</v>
      </c>
      <c r="AD55" t="s">
        <v>1602</v>
      </c>
      <c r="AE55" t="s">
        <v>1603</v>
      </c>
      <c r="AF55" t="s">
        <v>1604</v>
      </c>
      <c r="AH55" t="s">
        <v>1605</v>
      </c>
      <c r="AI55" t="s">
        <v>1138</v>
      </c>
      <c r="AJ55" t="s">
        <v>1139</v>
      </c>
      <c r="AK55" t="s">
        <v>1606</v>
      </c>
      <c r="AM55" t="s">
        <v>1141</v>
      </c>
    </row>
    <row r="56" spans="1:45">
      <c r="A56" t="s">
        <v>13</v>
      </c>
      <c r="B56" t="s">
        <v>1111</v>
      </c>
      <c r="C56" t="s">
        <v>1112</v>
      </c>
      <c r="E56" t="s">
        <v>1099</v>
      </c>
      <c r="F56" t="s">
        <v>1113</v>
      </c>
      <c r="I56" t="s">
        <v>1114</v>
      </c>
      <c r="J56" t="s">
        <v>1580</v>
      </c>
      <c r="K56" t="s">
        <v>1607</v>
      </c>
      <c r="L56" t="s">
        <v>1116</v>
      </c>
      <c r="M56" t="s">
        <v>1598</v>
      </c>
      <c r="N56" t="s">
        <v>1580</v>
      </c>
      <c r="O56" t="s">
        <v>1583</v>
      </c>
      <c r="P56" t="s">
        <v>1608</v>
      </c>
      <c r="Q56" t="s">
        <v>1129</v>
      </c>
      <c r="S56" t="s">
        <v>1120</v>
      </c>
      <c r="T56" t="s">
        <v>99</v>
      </c>
      <c r="W56" t="s">
        <v>1609</v>
      </c>
      <c r="X56" t="s">
        <v>1121</v>
      </c>
      <c r="Y56" t="s">
        <v>1131</v>
      </c>
      <c r="AB56" t="s">
        <v>1132</v>
      </c>
      <c r="AC56" t="s">
        <v>1610</v>
      </c>
      <c r="AD56" t="s">
        <v>1611</v>
      </c>
      <c r="AE56" t="s">
        <v>1612</v>
      </c>
      <c r="AF56" t="s">
        <v>1613</v>
      </c>
      <c r="AH56" t="s">
        <v>1614</v>
      </c>
      <c r="AI56" t="s">
        <v>1138</v>
      </c>
      <c r="AJ56" t="s">
        <v>1139</v>
      </c>
      <c r="AK56" t="s">
        <v>1606</v>
      </c>
      <c r="AM56" t="s">
        <v>1141</v>
      </c>
    </row>
    <row r="57" spans="1:45">
      <c r="A57" t="s">
        <v>13</v>
      </c>
      <c r="B57" t="s">
        <v>1097</v>
      </c>
      <c r="C57" t="s">
        <v>1195</v>
      </c>
      <c r="E57" t="s">
        <v>1099</v>
      </c>
      <c r="F57" t="s">
        <v>1196</v>
      </c>
      <c r="I57" t="s">
        <v>1101</v>
      </c>
      <c r="J57" t="s">
        <v>1580</v>
      </c>
      <c r="K57" t="s">
        <v>1615</v>
      </c>
      <c r="L57" t="s">
        <v>1198</v>
      </c>
      <c r="M57" t="s">
        <v>254</v>
      </c>
      <c r="N57" t="s">
        <v>1580</v>
      </c>
      <c r="O57" t="s">
        <v>1583</v>
      </c>
      <c r="P57" t="s">
        <v>1616</v>
      </c>
      <c r="Q57" t="s">
        <v>1617</v>
      </c>
      <c r="S57" t="s">
        <v>1618</v>
      </c>
      <c r="T57" t="s">
        <v>99</v>
      </c>
      <c r="W57" t="s">
        <v>1619</v>
      </c>
      <c r="X57" t="s">
        <v>1620</v>
      </c>
      <c r="Y57" t="s">
        <v>1621</v>
      </c>
      <c r="AB57" t="s">
        <v>1132</v>
      </c>
      <c r="AC57" t="s">
        <v>1622</v>
      </c>
      <c r="AD57" t="s">
        <v>1623</v>
      </c>
      <c r="AE57" t="s">
        <v>1624</v>
      </c>
      <c r="AF57" t="s">
        <v>1625</v>
      </c>
      <c r="AM57" t="s">
        <v>1141</v>
      </c>
    </row>
    <row r="58" spans="1:45" ht="16">
      <c r="A58" t="s">
        <v>13</v>
      </c>
      <c r="B58" t="s">
        <v>1227</v>
      </c>
      <c r="C58" t="s">
        <v>346</v>
      </c>
      <c r="E58" t="s">
        <v>1228</v>
      </c>
      <c r="F58" t="s">
        <v>972</v>
      </c>
      <c r="H58" t="s">
        <v>1626</v>
      </c>
      <c r="I58" t="s">
        <v>1101</v>
      </c>
      <c r="J58" t="s">
        <v>1580</v>
      </c>
      <c r="K58" t="s">
        <v>1627</v>
      </c>
      <c r="L58" t="s">
        <v>1244</v>
      </c>
      <c r="M58" t="s">
        <v>974</v>
      </c>
      <c r="N58" t="s">
        <v>1580</v>
      </c>
      <c r="O58" t="s">
        <v>1583</v>
      </c>
      <c r="P58" t="s">
        <v>1628</v>
      </c>
      <c r="Q58" t="s">
        <v>1409</v>
      </c>
      <c r="S58" t="s">
        <v>1410</v>
      </c>
      <c r="T58" t="s">
        <v>99</v>
      </c>
      <c r="W58" t="s">
        <v>1629</v>
      </c>
      <c r="X58" t="s">
        <v>1630</v>
      </c>
      <c r="Y58" t="s">
        <v>1631</v>
      </c>
      <c r="AB58" t="s">
        <v>1414</v>
      </c>
      <c r="AC58" t="s">
        <v>1632</v>
      </c>
      <c r="AD58" t="s">
        <v>1633</v>
      </c>
      <c r="AE58" t="s">
        <v>1634</v>
      </c>
      <c r="AF58" t="s">
        <v>1635</v>
      </c>
      <c r="AH58" t="s">
        <v>1636</v>
      </c>
      <c r="AI58" t="s">
        <v>1138</v>
      </c>
      <c r="AJ58" t="s">
        <v>1139</v>
      </c>
      <c r="AK58" t="s">
        <v>1420</v>
      </c>
      <c r="AM58" t="s">
        <v>1141</v>
      </c>
      <c r="AS58" s="1" t="s">
        <v>641</v>
      </c>
    </row>
    <row r="59" spans="1:45" ht="16">
      <c r="A59" t="s">
        <v>13</v>
      </c>
      <c r="B59" t="s">
        <v>1265</v>
      </c>
      <c r="C59" t="s">
        <v>60</v>
      </c>
      <c r="E59" t="s">
        <v>1228</v>
      </c>
      <c r="F59" t="s">
        <v>674</v>
      </c>
      <c r="H59" t="s">
        <v>1637</v>
      </c>
      <c r="I59" t="s">
        <v>1101</v>
      </c>
      <c r="J59" t="s">
        <v>1580</v>
      </c>
      <c r="K59" t="s">
        <v>1638</v>
      </c>
      <c r="L59" t="s">
        <v>1639</v>
      </c>
      <c r="M59" t="s">
        <v>707</v>
      </c>
      <c r="N59" t="s">
        <v>1580</v>
      </c>
      <c r="O59" t="s">
        <v>1583</v>
      </c>
      <c r="P59" t="s">
        <v>1640</v>
      </c>
      <c r="Q59" t="s">
        <v>1641</v>
      </c>
      <c r="S59" t="s">
        <v>1642</v>
      </c>
      <c r="T59" t="s">
        <v>99</v>
      </c>
      <c r="W59" t="s">
        <v>1643</v>
      </c>
      <c r="AG59" t="s">
        <v>1644</v>
      </c>
      <c r="AS59" s="1" t="s">
        <v>1278</v>
      </c>
    </row>
    <row r="60" spans="1:45" ht="192">
      <c r="A60" t="s">
        <v>13</v>
      </c>
      <c r="B60" t="s">
        <v>1265</v>
      </c>
      <c r="C60" t="s">
        <v>83</v>
      </c>
      <c r="E60" t="s">
        <v>1228</v>
      </c>
      <c r="F60" t="s">
        <v>82</v>
      </c>
      <c r="H60" t="s">
        <v>1645</v>
      </c>
      <c r="I60" t="s">
        <v>1114</v>
      </c>
      <c r="J60" t="s">
        <v>1580</v>
      </c>
      <c r="K60" t="s">
        <v>1646</v>
      </c>
      <c r="L60" t="s">
        <v>1186</v>
      </c>
      <c r="M60" t="s">
        <v>87</v>
      </c>
      <c r="N60" t="s">
        <v>1580</v>
      </c>
      <c r="O60" t="s">
        <v>1583</v>
      </c>
      <c r="P60" t="s">
        <v>1647</v>
      </c>
      <c r="Q60" t="s">
        <v>1305</v>
      </c>
      <c r="S60" t="s">
        <v>1247</v>
      </c>
      <c r="T60" t="s">
        <v>41</v>
      </c>
      <c r="U60" t="s">
        <v>1648</v>
      </c>
      <c r="W60" t="s">
        <v>1649</v>
      </c>
      <c r="AS60" s="1" t="s">
        <v>86</v>
      </c>
    </row>
    <row r="61" spans="1:45" ht="16">
      <c r="A61" t="s">
        <v>13</v>
      </c>
      <c r="B61" t="s">
        <v>1292</v>
      </c>
      <c r="C61" t="s">
        <v>447</v>
      </c>
      <c r="E61" t="s">
        <v>1228</v>
      </c>
      <c r="F61" t="s">
        <v>1293</v>
      </c>
      <c r="H61" t="s">
        <v>1294</v>
      </c>
      <c r="I61" t="s">
        <v>1101</v>
      </c>
      <c r="J61" t="s">
        <v>1580</v>
      </c>
      <c r="K61" t="s">
        <v>1650</v>
      </c>
      <c r="L61" t="s">
        <v>1193</v>
      </c>
      <c r="M61" t="s">
        <v>390</v>
      </c>
      <c r="N61" t="s">
        <v>1580</v>
      </c>
      <c r="O61" t="s">
        <v>1583</v>
      </c>
      <c r="P61" t="s">
        <v>1651</v>
      </c>
      <c r="Q61" t="s">
        <v>1305</v>
      </c>
      <c r="S61" t="s">
        <v>1208</v>
      </c>
      <c r="T61" t="s">
        <v>41</v>
      </c>
      <c r="U61" t="s">
        <v>1302</v>
      </c>
      <c r="W61" t="s">
        <v>1652</v>
      </c>
      <c r="AS61" s="1" t="s">
        <v>1278</v>
      </c>
    </row>
    <row r="62" spans="1:45" ht="16">
      <c r="A62" t="s">
        <v>13</v>
      </c>
      <c r="B62" t="s">
        <v>1292</v>
      </c>
      <c r="C62" t="s">
        <v>447</v>
      </c>
      <c r="E62" t="s">
        <v>1228</v>
      </c>
      <c r="F62" t="s">
        <v>1653</v>
      </c>
      <c r="H62" t="s">
        <v>1654</v>
      </c>
      <c r="I62" t="s">
        <v>1101</v>
      </c>
      <c r="J62" t="s">
        <v>1580</v>
      </c>
      <c r="K62" t="s">
        <v>1655</v>
      </c>
      <c r="L62" t="s">
        <v>1193</v>
      </c>
      <c r="M62" t="s">
        <v>390</v>
      </c>
      <c r="N62" t="s">
        <v>1580</v>
      </c>
      <c r="O62" t="s">
        <v>1583</v>
      </c>
      <c r="P62" t="s">
        <v>1656</v>
      </c>
      <c r="Q62" t="s">
        <v>1348</v>
      </c>
      <c r="S62" t="s">
        <v>1349</v>
      </c>
      <c r="T62" t="s">
        <v>99</v>
      </c>
      <c r="W62" t="s">
        <v>1657</v>
      </c>
      <c r="X62" t="s">
        <v>1351</v>
      </c>
      <c r="Y62" t="s">
        <v>1352</v>
      </c>
      <c r="AB62" t="s">
        <v>1132</v>
      </c>
      <c r="AC62" t="s">
        <v>1658</v>
      </c>
      <c r="AD62" t="s">
        <v>1659</v>
      </c>
      <c r="AE62" t="s">
        <v>1660</v>
      </c>
      <c r="AF62" t="s">
        <v>1661</v>
      </c>
      <c r="AH62" t="s">
        <v>1662</v>
      </c>
      <c r="AI62" t="s">
        <v>1138</v>
      </c>
      <c r="AJ62" t="s">
        <v>1139</v>
      </c>
      <c r="AK62" t="s">
        <v>1663</v>
      </c>
      <c r="AM62" t="s">
        <v>1141</v>
      </c>
      <c r="AS62" s="1" t="s">
        <v>1278</v>
      </c>
    </row>
    <row r="63" spans="1:45" ht="208">
      <c r="A63" t="s">
        <v>13</v>
      </c>
      <c r="B63" t="s">
        <v>1241</v>
      </c>
      <c r="C63" t="s">
        <v>30</v>
      </c>
      <c r="E63" t="s">
        <v>1228</v>
      </c>
      <c r="F63" t="s">
        <v>308</v>
      </c>
      <c r="H63" t="s">
        <v>1664</v>
      </c>
      <c r="I63" t="s">
        <v>1114</v>
      </c>
      <c r="J63" t="s">
        <v>1580</v>
      </c>
      <c r="K63" t="s">
        <v>1665</v>
      </c>
      <c r="L63" t="s">
        <v>1666</v>
      </c>
      <c r="M63" t="s">
        <v>430</v>
      </c>
      <c r="N63" t="s">
        <v>1580</v>
      </c>
      <c r="O63" t="s">
        <v>1583</v>
      </c>
      <c r="P63" t="s">
        <v>1667</v>
      </c>
      <c r="Q63" t="s">
        <v>1254</v>
      </c>
      <c r="S63" t="s">
        <v>1255</v>
      </c>
      <c r="T63" t="s">
        <v>99</v>
      </c>
      <c r="W63" t="s">
        <v>1668</v>
      </c>
      <c r="X63" t="s">
        <v>1257</v>
      </c>
      <c r="Y63" t="s">
        <v>1258</v>
      </c>
      <c r="AB63" t="s">
        <v>1132</v>
      </c>
      <c r="AC63" t="s">
        <v>1669</v>
      </c>
      <c r="AD63" t="s">
        <v>1670</v>
      </c>
      <c r="AE63" t="s">
        <v>1671</v>
      </c>
      <c r="AF63" t="s">
        <v>1672</v>
      </c>
      <c r="AH63" t="s">
        <v>1673</v>
      </c>
      <c r="AI63" t="s">
        <v>1138</v>
      </c>
      <c r="AJ63" t="s">
        <v>1139</v>
      </c>
      <c r="AK63" t="s">
        <v>1264</v>
      </c>
      <c r="AM63" t="s">
        <v>1141</v>
      </c>
      <c r="AS63" s="1" t="s">
        <v>429</v>
      </c>
    </row>
    <row r="64" spans="1:45" ht="16">
      <c r="A64" t="s">
        <v>13</v>
      </c>
      <c r="B64" t="s">
        <v>1377</v>
      </c>
      <c r="C64" t="s">
        <v>179</v>
      </c>
      <c r="E64" t="s">
        <v>1378</v>
      </c>
      <c r="F64" t="s">
        <v>821</v>
      </c>
      <c r="H64" t="s">
        <v>1674</v>
      </c>
      <c r="I64" t="s">
        <v>1114</v>
      </c>
      <c r="J64" t="s">
        <v>1580</v>
      </c>
      <c r="K64" t="s">
        <v>1675</v>
      </c>
      <c r="L64" t="s">
        <v>1381</v>
      </c>
      <c r="M64" t="s">
        <v>823</v>
      </c>
      <c r="N64" t="s">
        <v>1580</v>
      </c>
      <c r="O64" t="s">
        <v>1583</v>
      </c>
      <c r="P64" t="s">
        <v>1676</v>
      </c>
      <c r="Q64" t="s">
        <v>1409</v>
      </c>
      <c r="S64" t="s">
        <v>1410</v>
      </c>
      <c r="T64" t="s">
        <v>99</v>
      </c>
      <c r="W64" t="s">
        <v>1677</v>
      </c>
      <c r="X64" t="s">
        <v>1412</v>
      </c>
      <c r="Y64" t="s">
        <v>1413</v>
      </c>
      <c r="AB64" t="s">
        <v>1414</v>
      </c>
      <c r="AC64" t="s">
        <v>1678</v>
      </c>
      <c r="AD64" t="s">
        <v>1679</v>
      </c>
      <c r="AE64" t="s">
        <v>1680</v>
      </c>
      <c r="AF64" t="s">
        <v>1681</v>
      </c>
      <c r="AH64" t="s">
        <v>1682</v>
      </c>
      <c r="AI64" t="s">
        <v>1138</v>
      </c>
      <c r="AJ64" t="s">
        <v>1139</v>
      </c>
      <c r="AK64" t="s">
        <v>1420</v>
      </c>
      <c r="AM64" t="s">
        <v>1141</v>
      </c>
      <c r="AS64" s="1" t="s">
        <v>1278</v>
      </c>
    </row>
    <row r="65" spans="1:45" ht="64">
      <c r="A65" t="s">
        <v>13</v>
      </c>
      <c r="B65" t="s">
        <v>1683</v>
      </c>
      <c r="C65" t="s">
        <v>124</v>
      </c>
      <c r="E65" t="s">
        <v>1378</v>
      </c>
      <c r="F65" t="s">
        <v>516</v>
      </c>
      <c r="H65" t="s">
        <v>1684</v>
      </c>
      <c r="I65" t="s">
        <v>1114</v>
      </c>
      <c r="J65" t="s">
        <v>1580</v>
      </c>
      <c r="K65" t="s">
        <v>1685</v>
      </c>
      <c r="L65" t="s">
        <v>1686</v>
      </c>
      <c r="M65" t="s">
        <v>905</v>
      </c>
      <c r="N65" t="s">
        <v>1580</v>
      </c>
      <c r="O65" t="s">
        <v>1583</v>
      </c>
      <c r="P65" t="s">
        <v>1687</v>
      </c>
      <c r="Q65" t="s">
        <v>1305</v>
      </c>
      <c r="S65" t="s">
        <v>1208</v>
      </c>
      <c r="T65" t="s">
        <v>41</v>
      </c>
      <c r="U65" t="s">
        <v>1688</v>
      </c>
      <c r="W65" t="s">
        <v>1689</v>
      </c>
      <c r="AS65" s="1" t="s">
        <v>904</v>
      </c>
    </row>
    <row r="66" spans="1:45" ht="16">
      <c r="A66" t="s">
        <v>13</v>
      </c>
      <c r="B66" t="s">
        <v>1392</v>
      </c>
      <c r="C66" t="s">
        <v>45</v>
      </c>
      <c r="E66" t="s">
        <v>1378</v>
      </c>
      <c r="F66" t="s">
        <v>234</v>
      </c>
      <c r="H66" t="s">
        <v>1404</v>
      </c>
      <c r="I66" t="s">
        <v>1114</v>
      </c>
      <c r="J66" t="s">
        <v>1580</v>
      </c>
      <c r="K66" t="s">
        <v>1690</v>
      </c>
      <c r="L66" t="s">
        <v>1423</v>
      </c>
      <c r="M66" t="s">
        <v>237</v>
      </c>
      <c r="N66" t="s">
        <v>1580</v>
      </c>
      <c r="O66" t="s">
        <v>1583</v>
      </c>
      <c r="P66" t="s">
        <v>1691</v>
      </c>
      <c r="Q66" t="s">
        <v>1305</v>
      </c>
      <c r="S66" t="s">
        <v>1208</v>
      </c>
      <c r="T66" t="s">
        <v>41</v>
      </c>
      <c r="U66" t="s">
        <v>1692</v>
      </c>
      <c r="W66" t="s">
        <v>1693</v>
      </c>
      <c r="AS66" s="1" t="s">
        <v>236</v>
      </c>
    </row>
    <row r="67" spans="1:45" ht="16">
      <c r="A67" t="s">
        <v>13</v>
      </c>
      <c r="B67" t="s">
        <v>1431</v>
      </c>
      <c r="C67" t="s">
        <v>195</v>
      </c>
      <c r="E67" t="s">
        <v>1432</v>
      </c>
      <c r="F67" t="s">
        <v>579</v>
      </c>
      <c r="H67" t="s">
        <v>1433</v>
      </c>
      <c r="I67" t="s">
        <v>1101</v>
      </c>
      <c r="J67" t="s">
        <v>1580</v>
      </c>
      <c r="K67" t="s">
        <v>1694</v>
      </c>
      <c r="L67" t="s">
        <v>1435</v>
      </c>
      <c r="M67" t="s">
        <v>1695</v>
      </c>
      <c r="N67" t="s">
        <v>1696</v>
      </c>
      <c r="O67" t="s">
        <v>1697</v>
      </c>
      <c r="P67" t="s">
        <v>1698</v>
      </c>
      <c r="Q67" t="s">
        <v>1699</v>
      </c>
      <c r="S67" t="s">
        <v>1642</v>
      </c>
      <c r="T67" t="s">
        <v>41</v>
      </c>
      <c r="U67" t="s">
        <v>1439</v>
      </c>
      <c r="W67" t="s">
        <v>1700</v>
      </c>
      <c r="AS67" s="1" t="s">
        <v>1278</v>
      </c>
    </row>
    <row r="68" spans="1:45" ht="16">
      <c r="A68" t="s">
        <v>13</v>
      </c>
      <c r="B68" t="s">
        <v>1487</v>
      </c>
      <c r="C68" t="s">
        <v>224</v>
      </c>
      <c r="E68" t="s">
        <v>1488</v>
      </c>
      <c r="F68" t="s">
        <v>943</v>
      </c>
      <c r="H68" t="s">
        <v>1701</v>
      </c>
      <c r="I68" t="s">
        <v>1114</v>
      </c>
      <c r="J68" t="s">
        <v>1580</v>
      </c>
      <c r="K68" t="s">
        <v>1702</v>
      </c>
      <c r="L68" t="s">
        <v>1703</v>
      </c>
      <c r="M68" t="s">
        <v>947</v>
      </c>
      <c r="N68" t="s">
        <v>1580</v>
      </c>
      <c r="O68" t="s">
        <v>1583</v>
      </c>
      <c r="P68" t="s">
        <v>1704</v>
      </c>
      <c r="Q68" t="s">
        <v>1254</v>
      </c>
      <c r="S68" t="s">
        <v>1255</v>
      </c>
      <c r="T68" t="s">
        <v>99</v>
      </c>
      <c r="W68" t="s">
        <v>1705</v>
      </c>
      <c r="X68" t="s">
        <v>1706</v>
      </c>
      <c r="Y68" t="s">
        <v>1707</v>
      </c>
      <c r="AB68" t="s">
        <v>1132</v>
      </c>
      <c r="AC68" t="s">
        <v>1708</v>
      </c>
      <c r="AD68" t="s">
        <v>1709</v>
      </c>
      <c r="AE68" t="s">
        <v>1710</v>
      </c>
      <c r="AF68" t="s">
        <v>1711</v>
      </c>
      <c r="AH68" t="s">
        <v>1712</v>
      </c>
      <c r="AM68" t="s">
        <v>1141</v>
      </c>
      <c r="AS68" s="1" t="s">
        <v>1278</v>
      </c>
    </row>
    <row r="69" spans="1:45">
      <c r="A69" t="s">
        <v>13</v>
      </c>
      <c r="B69" t="s">
        <v>1515</v>
      </c>
      <c r="C69" t="s">
        <v>1516</v>
      </c>
      <c r="E69" t="s">
        <v>1517</v>
      </c>
      <c r="F69" t="s">
        <v>1518</v>
      </c>
      <c r="G69" t="s">
        <v>1519</v>
      </c>
      <c r="I69" t="s">
        <v>1114</v>
      </c>
      <c r="J69" t="s">
        <v>1580</v>
      </c>
      <c r="K69" t="s">
        <v>1713</v>
      </c>
      <c r="L69" t="s">
        <v>1714</v>
      </c>
      <c r="M69" t="s">
        <v>1715</v>
      </c>
      <c r="N69" t="s">
        <v>1580</v>
      </c>
      <c r="O69" t="s">
        <v>1583</v>
      </c>
      <c r="P69" t="s">
        <v>1716</v>
      </c>
      <c r="Q69" t="s">
        <v>1717</v>
      </c>
      <c r="S69" t="s">
        <v>1410</v>
      </c>
      <c r="T69" t="s">
        <v>41</v>
      </c>
      <c r="U69" t="s">
        <v>1718</v>
      </c>
      <c r="AH69" t="s">
        <v>1719</v>
      </c>
    </row>
    <row r="70" spans="1:45">
      <c r="A70" t="s">
        <v>13</v>
      </c>
      <c r="B70" t="s">
        <v>1142</v>
      </c>
      <c r="C70" t="s">
        <v>1169</v>
      </c>
      <c r="E70" t="s">
        <v>1099</v>
      </c>
      <c r="F70" t="s">
        <v>1720</v>
      </c>
      <c r="I70" t="s">
        <v>1101</v>
      </c>
      <c r="J70" t="s">
        <v>1696</v>
      </c>
      <c r="K70" t="s">
        <v>1721</v>
      </c>
      <c r="L70" t="s">
        <v>1722</v>
      </c>
      <c r="M70" t="s">
        <v>1723</v>
      </c>
      <c r="N70" t="s">
        <v>1696</v>
      </c>
      <c r="O70" t="s">
        <v>1697</v>
      </c>
      <c r="P70" t="s">
        <v>1724</v>
      </c>
      <c r="Q70" t="s">
        <v>1326</v>
      </c>
      <c r="S70" t="s">
        <v>1327</v>
      </c>
      <c r="T70" t="s">
        <v>41</v>
      </c>
      <c r="U70" t="s">
        <v>1725</v>
      </c>
      <c r="W70" t="s">
        <v>1726</v>
      </c>
      <c r="AH70" t="s">
        <v>1727</v>
      </c>
    </row>
    <row r="71" spans="1:45">
      <c r="A71" t="s">
        <v>13</v>
      </c>
      <c r="B71" t="s">
        <v>1142</v>
      </c>
      <c r="C71" t="s">
        <v>1728</v>
      </c>
      <c r="E71" t="s">
        <v>1099</v>
      </c>
      <c r="F71" t="s">
        <v>1729</v>
      </c>
      <c r="I71" t="s">
        <v>1101</v>
      </c>
      <c r="J71" t="s">
        <v>1696</v>
      </c>
      <c r="K71" t="s">
        <v>1730</v>
      </c>
      <c r="L71" t="s">
        <v>1731</v>
      </c>
      <c r="M71" t="s">
        <v>1732</v>
      </c>
      <c r="N71" t="s">
        <v>1696</v>
      </c>
      <c r="O71" t="s">
        <v>1697</v>
      </c>
      <c r="P71" t="s">
        <v>1733</v>
      </c>
      <c r="Q71" t="s">
        <v>1326</v>
      </c>
      <c r="S71" t="s">
        <v>1327</v>
      </c>
      <c r="T71" t="s">
        <v>41</v>
      </c>
      <c r="U71" t="s">
        <v>1725</v>
      </c>
      <c r="W71" t="s">
        <v>1734</v>
      </c>
      <c r="AH71" t="s">
        <v>1735</v>
      </c>
    </row>
    <row r="72" spans="1:45">
      <c r="A72" t="s">
        <v>13</v>
      </c>
      <c r="B72" t="s">
        <v>1097</v>
      </c>
      <c r="C72" t="s">
        <v>1183</v>
      </c>
      <c r="E72" t="s">
        <v>1099</v>
      </c>
      <c r="F72" t="s">
        <v>1184</v>
      </c>
      <c r="I72" t="s">
        <v>1114</v>
      </c>
      <c r="J72" t="s">
        <v>1696</v>
      </c>
      <c r="K72" t="s">
        <v>1736</v>
      </c>
      <c r="L72" t="s">
        <v>1186</v>
      </c>
      <c r="M72" t="s">
        <v>1187</v>
      </c>
      <c r="N72" t="s">
        <v>1696</v>
      </c>
      <c r="O72" t="s">
        <v>1697</v>
      </c>
      <c r="P72" t="s">
        <v>1737</v>
      </c>
      <c r="Q72" t="s">
        <v>1119</v>
      </c>
      <c r="S72" t="s">
        <v>1120</v>
      </c>
      <c r="T72" t="s">
        <v>41</v>
      </c>
      <c r="U72" t="s">
        <v>1121</v>
      </c>
      <c r="W72" t="s">
        <v>1738</v>
      </c>
      <c r="AH72" t="s">
        <v>1739</v>
      </c>
    </row>
    <row r="73" spans="1:45">
      <c r="A73" t="s">
        <v>13</v>
      </c>
      <c r="B73" t="s">
        <v>1142</v>
      </c>
      <c r="C73" t="s">
        <v>1176</v>
      </c>
      <c r="E73" t="s">
        <v>1099</v>
      </c>
      <c r="F73" t="s">
        <v>1177</v>
      </c>
      <c r="I73" t="s">
        <v>1114</v>
      </c>
      <c r="J73" t="s">
        <v>1696</v>
      </c>
      <c r="K73" t="s">
        <v>1740</v>
      </c>
      <c r="L73" t="s">
        <v>1741</v>
      </c>
      <c r="M73" t="s">
        <v>1742</v>
      </c>
      <c r="N73" t="s">
        <v>1696</v>
      </c>
      <c r="O73" t="s">
        <v>1697</v>
      </c>
      <c r="P73" t="s">
        <v>1743</v>
      </c>
      <c r="Q73" t="s">
        <v>1119</v>
      </c>
      <c r="S73" t="s">
        <v>1120</v>
      </c>
      <c r="T73" t="s">
        <v>41</v>
      </c>
      <c r="U73" t="s">
        <v>1121</v>
      </c>
      <c r="W73" t="s">
        <v>1744</v>
      </c>
      <c r="AH73" t="s">
        <v>1123</v>
      </c>
    </row>
    <row r="74" spans="1:45">
      <c r="A74" t="s">
        <v>13</v>
      </c>
      <c r="B74" t="s">
        <v>1210</v>
      </c>
      <c r="C74" t="s">
        <v>1211</v>
      </c>
      <c r="E74" t="s">
        <v>1099</v>
      </c>
      <c r="F74" t="s">
        <v>1212</v>
      </c>
      <c r="I74" t="s">
        <v>1101</v>
      </c>
      <c r="J74" t="s">
        <v>1696</v>
      </c>
      <c r="K74" t="s">
        <v>1745</v>
      </c>
      <c r="L74" t="s">
        <v>1198</v>
      </c>
      <c r="M74" t="s">
        <v>254</v>
      </c>
      <c r="N74" t="s">
        <v>1696</v>
      </c>
      <c r="O74" t="s">
        <v>1697</v>
      </c>
      <c r="P74" t="s">
        <v>1746</v>
      </c>
      <c r="Q74" t="s">
        <v>1119</v>
      </c>
      <c r="S74" t="s">
        <v>1120</v>
      </c>
      <c r="T74" t="s">
        <v>41</v>
      </c>
      <c r="U74" t="s">
        <v>1121</v>
      </c>
      <c r="W74" t="s">
        <v>1747</v>
      </c>
      <c r="AH74" t="s">
        <v>1748</v>
      </c>
    </row>
    <row r="75" spans="1:45" ht="32">
      <c r="A75" t="s">
        <v>13</v>
      </c>
      <c r="B75" t="s">
        <v>1241</v>
      </c>
      <c r="C75" t="s">
        <v>30</v>
      </c>
      <c r="E75" t="s">
        <v>1228</v>
      </c>
      <c r="F75" t="s">
        <v>565</v>
      </c>
      <c r="H75" t="s">
        <v>1749</v>
      </c>
      <c r="I75" t="s">
        <v>1101</v>
      </c>
      <c r="J75" t="s">
        <v>1696</v>
      </c>
      <c r="K75" t="s">
        <v>1750</v>
      </c>
      <c r="L75" t="s">
        <v>1751</v>
      </c>
      <c r="M75" t="s">
        <v>978</v>
      </c>
      <c r="N75" t="s">
        <v>1696</v>
      </c>
      <c r="O75" t="s">
        <v>1697</v>
      </c>
      <c r="P75" t="s">
        <v>1752</v>
      </c>
      <c r="Q75" t="s">
        <v>1326</v>
      </c>
      <c r="S75" t="s">
        <v>1327</v>
      </c>
      <c r="T75" t="s">
        <v>41</v>
      </c>
      <c r="U75" t="s">
        <v>1337</v>
      </c>
      <c r="W75" t="s">
        <v>1753</v>
      </c>
      <c r="AH75" t="s">
        <v>1754</v>
      </c>
      <c r="AS75" s="1" t="s">
        <v>91</v>
      </c>
    </row>
    <row r="76" spans="1:45">
      <c r="A76" t="s">
        <v>13</v>
      </c>
      <c r="B76" t="s">
        <v>1241</v>
      </c>
      <c r="C76" t="s">
        <v>30</v>
      </c>
      <c r="E76" t="s">
        <v>1228</v>
      </c>
      <c r="F76" t="s">
        <v>308</v>
      </c>
      <c r="H76" t="s">
        <v>1664</v>
      </c>
      <c r="I76" t="s">
        <v>1101</v>
      </c>
      <c r="J76" t="s">
        <v>1696</v>
      </c>
      <c r="K76" t="s">
        <v>1755</v>
      </c>
      <c r="L76" t="s">
        <v>1751</v>
      </c>
      <c r="M76" t="s">
        <v>978</v>
      </c>
      <c r="N76" t="s">
        <v>1696</v>
      </c>
      <c r="O76" t="s">
        <v>1697</v>
      </c>
      <c r="P76" t="s">
        <v>1756</v>
      </c>
      <c r="Q76" t="s">
        <v>1326</v>
      </c>
      <c r="S76" t="s">
        <v>1327</v>
      </c>
      <c r="T76" t="s">
        <v>41</v>
      </c>
      <c r="U76" t="s">
        <v>1337</v>
      </c>
      <c r="W76" t="s">
        <v>1753</v>
      </c>
      <c r="AH76" t="s">
        <v>1754</v>
      </c>
    </row>
    <row r="77" spans="1:45" ht="176">
      <c r="A77" t="s">
        <v>13</v>
      </c>
      <c r="B77" t="s">
        <v>1683</v>
      </c>
      <c r="C77" t="s">
        <v>124</v>
      </c>
      <c r="E77" t="s">
        <v>1378</v>
      </c>
      <c r="F77" t="s">
        <v>516</v>
      </c>
      <c r="H77" t="s">
        <v>1684</v>
      </c>
      <c r="I77" t="s">
        <v>1101</v>
      </c>
      <c r="J77" t="s">
        <v>1696</v>
      </c>
      <c r="K77" t="s">
        <v>1757</v>
      </c>
      <c r="L77" t="s">
        <v>1198</v>
      </c>
      <c r="M77" t="s">
        <v>519</v>
      </c>
      <c r="N77" t="s">
        <v>1696</v>
      </c>
      <c r="O77" t="s">
        <v>1697</v>
      </c>
      <c r="P77" t="s">
        <v>1758</v>
      </c>
      <c r="Q77" t="s">
        <v>1284</v>
      </c>
      <c r="S77" t="s">
        <v>1285</v>
      </c>
      <c r="T77" t="s">
        <v>41</v>
      </c>
      <c r="U77" t="s">
        <v>1286</v>
      </c>
      <c r="W77" t="s">
        <v>1759</v>
      </c>
      <c r="AH77" t="s">
        <v>1288</v>
      </c>
      <c r="AS77" s="1" t="s">
        <v>518</v>
      </c>
    </row>
    <row r="78" spans="1:45">
      <c r="A78" t="s">
        <v>13</v>
      </c>
      <c r="B78" t="s">
        <v>1543</v>
      </c>
      <c r="C78" t="s">
        <v>239</v>
      </c>
      <c r="E78" t="s">
        <v>1536</v>
      </c>
      <c r="F78" t="s">
        <v>238</v>
      </c>
      <c r="H78" t="s">
        <v>1560</v>
      </c>
      <c r="I78" t="s">
        <v>1114</v>
      </c>
      <c r="J78" t="s">
        <v>1696</v>
      </c>
      <c r="K78" t="s">
        <v>1760</v>
      </c>
      <c r="L78" t="s">
        <v>1562</v>
      </c>
      <c r="M78" t="s">
        <v>243</v>
      </c>
      <c r="N78" t="s">
        <v>1696</v>
      </c>
      <c r="O78" t="s">
        <v>1697</v>
      </c>
      <c r="P78" t="s">
        <v>1761</v>
      </c>
      <c r="Q78" t="s">
        <v>1284</v>
      </c>
      <c r="S78" t="s">
        <v>1285</v>
      </c>
      <c r="T78" t="s">
        <v>41</v>
      </c>
      <c r="U78" t="s">
        <v>1541</v>
      </c>
      <c r="W78" t="s">
        <v>1762</v>
      </c>
      <c r="AH78" t="s">
        <v>1288</v>
      </c>
    </row>
    <row r="79" spans="1:45">
      <c r="A79" t="s">
        <v>13</v>
      </c>
      <c r="B79" t="s">
        <v>1543</v>
      </c>
      <c r="C79" t="s">
        <v>239</v>
      </c>
      <c r="E79" t="s">
        <v>1536</v>
      </c>
      <c r="F79" t="s">
        <v>238</v>
      </c>
      <c r="H79" t="s">
        <v>1560</v>
      </c>
      <c r="I79" t="s">
        <v>1367</v>
      </c>
      <c r="J79" t="s">
        <v>1696</v>
      </c>
      <c r="K79" t="s">
        <v>1763</v>
      </c>
      <c r="L79" t="s">
        <v>1562</v>
      </c>
      <c r="M79" t="s">
        <v>243</v>
      </c>
      <c r="N79" t="s">
        <v>1696</v>
      </c>
      <c r="O79" t="s">
        <v>1697</v>
      </c>
      <c r="P79" t="s">
        <v>1764</v>
      </c>
      <c r="Q79" t="s">
        <v>1313</v>
      </c>
      <c r="S79" t="s">
        <v>1285</v>
      </c>
      <c r="T79" t="s">
        <v>99</v>
      </c>
      <c r="W79" t="s">
        <v>1765</v>
      </c>
      <c r="X79" t="s">
        <v>1541</v>
      </c>
      <c r="Y79" t="s">
        <v>1766</v>
      </c>
      <c r="AB79" t="s">
        <v>1132</v>
      </c>
      <c r="AC79" t="s">
        <v>1767</v>
      </c>
      <c r="AD79" t="s">
        <v>1768</v>
      </c>
      <c r="AE79" t="s">
        <v>1769</v>
      </c>
      <c r="AF79" t="s">
        <v>1770</v>
      </c>
      <c r="AH79" t="s">
        <v>1288</v>
      </c>
      <c r="AM79" t="s">
        <v>1141</v>
      </c>
    </row>
    <row r="80" spans="1:45">
      <c r="A80" t="s">
        <v>13</v>
      </c>
      <c r="B80" t="s">
        <v>1142</v>
      </c>
      <c r="C80" t="s">
        <v>1771</v>
      </c>
      <c r="E80" t="s">
        <v>1099</v>
      </c>
      <c r="F80" t="s">
        <v>1772</v>
      </c>
      <c r="I80" t="s">
        <v>1101</v>
      </c>
      <c r="J80" t="s">
        <v>1199</v>
      </c>
      <c r="K80" t="s">
        <v>1773</v>
      </c>
      <c r="L80" t="s">
        <v>1774</v>
      </c>
      <c r="M80" t="s">
        <v>1775</v>
      </c>
      <c r="N80" t="s">
        <v>1199</v>
      </c>
      <c r="O80" t="s">
        <v>1200</v>
      </c>
      <c r="P80" t="s">
        <v>1776</v>
      </c>
      <c r="Q80" t="s">
        <v>1119</v>
      </c>
      <c r="S80" t="s">
        <v>1120</v>
      </c>
      <c r="T80" t="s">
        <v>41</v>
      </c>
      <c r="U80" t="s">
        <v>1121</v>
      </c>
      <c r="W80" t="s">
        <v>1777</v>
      </c>
      <c r="AH80" t="s">
        <v>1778</v>
      </c>
    </row>
    <row r="81" spans="1:45">
      <c r="A81" t="s">
        <v>13</v>
      </c>
      <c r="B81" t="s">
        <v>1142</v>
      </c>
      <c r="C81" t="s">
        <v>1143</v>
      </c>
      <c r="E81" t="s">
        <v>1099</v>
      </c>
      <c r="F81" t="s">
        <v>1779</v>
      </c>
      <c r="I81" t="s">
        <v>1101</v>
      </c>
      <c r="J81" t="s">
        <v>1199</v>
      </c>
      <c r="K81" t="s">
        <v>1780</v>
      </c>
      <c r="L81" t="s">
        <v>1774</v>
      </c>
      <c r="M81" t="s">
        <v>1775</v>
      </c>
      <c r="N81" t="s">
        <v>1199</v>
      </c>
      <c r="O81" t="s">
        <v>1200</v>
      </c>
      <c r="P81" t="s">
        <v>1781</v>
      </c>
      <c r="Q81" t="s">
        <v>1119</v>
      </c>
      <c r="S81" t="s">
        <v>1120</v>
      </c>
      <c r="T81" t="s">
        <v>41</v>
      </c>
      <c r="U81" t="s">
        <v>1121</v>
      </c>
      <c r="W81" t="s">
        <v>1782</v>
      </c>
      <c r="AH81" t="s">
        <v>1154</v>
      </c>
    </row>
    <row r="82" spans="1:45">
      <c r="A82" t="s">
        <v>13</v>
      </c>
      <c r="B82" t="s">
        <v>1142</v>
      </c>
      <c r="C82" t="s">
        <v>1176</v>
      </c>
      <c r="E82" t="s">
        <v>1099</v>
      </c>
      <c r="F82" t="s">
        <v>1783</v>
      </c>
      <c r="I82" t="s">
        <v>1101</v>
      </c>
      <c r="J82" t="s">
        <v>1199</v>
      </c>
      <c r="K82" t="s">
        <v>1784</v>
      </c>
      <c r="L82" t="s">
        <v>1722</v>
      </c>
      <c r="M82" t="s">
        <v>1723</v>
      </c>
      <c r="N82" t="s">
        <v>1199</v>
      </c>
      <c r="O82" t="s">
        <v>1200</v>
      </c>
      <c r="P82" t="s">
        <v>1785</v>
      </c>
      <c r="Q82" t="s">
        <v>1336</v>
      </c>
      <c r="S82" t="s">
        <v>1786</v>
      </c>
      <c r="T82" t="s">
        <v>41</v>
      </c>
      <c r="U82" t="s">
        <v>1725</v>
      </c>
      <c r="W82" t="s">
        <v>1787</v>
      </c>
      <c r="AH82" t="s">
        <v>1788</v>
      </c>
    </row>
    <row r="83" spans="1:45" ht="192">
      <c r="A83" t="s">
        <v>13</v>
      </c>
      <c r="B83" t="s">
        <v>1265</v>
      </c>
      <c r="C83" t="s">
        <v>83</v>
      </c>
      <c r="E83" t="s">
        <v>1228</v>
      </c>
      <c r="F83" t="s">
        <v>107</v>
      </c>
      <c r="H83" t="s">
        <v>1307</v>
      </c>
      <c r="I83" t="s">
        <v>1114</v>
      </c>
      <c r="J83" t="s">
        <v>1199</v>
      </c>
      <c r="K83" t="s">
        <v>1789</v>
      </c>
      <c r="L83" t="s">
        <v>1476</v>
      </c>
      <c r="M83" t="s">
        <v>383</v>
      </c>
      <c r="N83" t="s">
        <v>1199</v>
      </c>
      <c r="O83" t="s">
        <v>1200</v>
      </c>
      <c r="P83" t="s">
        <v>1790</v>
      </c>
      <c r="Q83" t="s">
        <v>1284</v>
      </c>
      <c r="S83" t="s">
        <v>1285</v>
      </c>
      <c r="T83" t="s">
        <v>41</v>
      </c>
      <c r="U83" t="s">
        <v>1286</v>
      </c>
      <c r="W83" t="s">
        <v>1791</v>
      </c>
      <c r="AH83" t="s">
        <v>1288</v>
      </c>
      <c r="AS83" s="1" t="s">
        <v>382</v>
      </c>
    </row>
    <row r="84" spans="1:45" ht="192">
      <c r="A84" t="s">
        <v>13</v>
      </c>
      <c r="B84" t="s">
        <v>1265</v>
      </c>
      <c r="C84" t="s">
        <v>60</v>
      </c>
      <c r="E84" t="s">
        <v>1228</v>
      </c>
      <c r="F84" t="s">
        <v>59</v>
      </c>
      <c r="H84" t="s">
        <v>1366</v>
      </c>
      <c r="I84" t="s">
        <v>1114</v>
      </c>
      <c r="J84" t="s">
        <v>1199</v>
      </c>
      <c r="K84" t="s">
        <v>1792</v>
      </c>
      <c r="L84" t="s">
        <v>1793</v>
      </c>
      <c r="M84" t="s">
        <v>374</v>
      </c>
      <c r="N84" t="s">
        <v>1199</v>
      </c>
      <c r="O84" t="s">
        <v>1200</v>
      </c>
      <c r="P84" t="s">
        <v>1794</v>
      </c>
      <c r="Q84" t="s">
        <v>1284</v>
      </c>
      <c r="S84" t="s">
        <v>1285</v>
      </c>
      <c r="T84" t="s">
        <v>41</v>
      </c>
      <c r="U84" t="s">
        <v>1286</v>
      </c>
      <c r="W84" t="s">
        <v>1791</v>
      </c>
      <c r="AH84" t="s">
        <v>1288</v>
      </c>
      <c r="AS84" s="1" t="s">
        <v>373</v>
      </c>
    </row>
    <row r="85" spans="1:45" ht="16">
      <c r="A85" t="s">
        <v>13</v>
      </c>
      <c r="B85" t="s">
        <v>1265</v>
      </c>
      <c r="C85" t="s">
        <v>83</v>
      </c>
      <c r="E85" t="s">
        <v>1228</v>
      </c>
      <c r="F85" t="s">
        <v>82</v>
      </c>
      <c r="H85" t="s">
        <v>1645</v>
      </c>
      <c r="I85" t="s">
        <v>1101</v>
      </c>
      <c r="J85" t="s">
        <v>1199</v>
      </c>
      <c r="K85" t="s">
        <v>1795</v>
      </c>
      <c r="L85" t="s">
        <v>1193</v>
      </c>
      <c r="M85" t="s">
        <v>390</v>
      </c>
      <c r="N85" t="s">
        <v>1199</v>
      </c>
      <c r="O85" t="s">
        <v>1200</v>
      </c>
      <c r="P85" t="s">
        <v>1796</v>
      </c>
      <c r="Q85" t="s">
        <v>1207</v>
      </c>
      <c r="S85" t="s">
        <v>1208</v>
      </c>
      <c r="T85" t="s">
        <v>99</v>
      </c>
      <c r="W85" t="s">
        <v>1797</v>
      </c>
      <c r="AG85" t="s">
        <v>1648</v>
      </c>
      <c r="AH85" t="s">
        <v>1798</v>
      </c>
      <c r="AS85" s="1" t="s">
        <v>1278</v>
      </c>
    </row>
    <row r="86" spans="1:45">
      <c r="A86" t="s">
        <v>13</v>
      </c>
      <c r="B86" t="s">
        <v>1462</v>
      </c>
      <c r="C86" t="s">
        <v>208</v>
      </c>
      <c r="E86" t="s">
        <v>1432</v>
      </c>
      <c r="F86" t="s">
        <v>1799</v>
      </c>
      <c r="H86" t="s">
        <v>1800</v>
      </c>
      <c r="I86" t="s">
        <v>1801</v>
      </c>
      <c r="J86" t="s">
        <v>1199</v>
      </c>
      <c r="K86" t="s">
        <v>1802</v>
      </c>
      <c r="L86" t="s">
        <v>1803</v>
      </c>
      <c r="M86" t="s">
        <v>1804</v>
      </c>
      <c r="N86" t="s">
        <v>1102</v>
      </c>
      <c r="O86" t="s">
        <v>1105</v>
      </c>
      <c r="P86" t="s">
        <v>1805</v>
      </c>
      <c r="Q86" t="s">
        <v>1806</v>
      </c>
      <c r="S86" t="s">
        <v>1807</v>
      </c>
      <c r="T86" t="s">
        <v>99</v>
      </c>
      <c r="W86" t="s">
        <v>1806</v>
      </c>
      <c r="X86" t="s">
        <v>1808</v>
      </c>
      <c r="Y86" t="s">
        <v>1809</v>
      </c>
      <c r="AB86" t="s">
        <v>1236</v>
      </c>
      <c r="AC86" t="s">
        <v>1810</v>
      </c>
      <c r="AE86" t="s">
        <v>1811</v>
      </c>
      <c r="AI86" t="s">
        <v>1138</v>
      </c>
      <c r="AJ86" t="s">
        <v>1139</v>
      </c>
      <c r="AK86" t="s">
        <v>1812</v>
      </c>
      <c r="AM86" t="s">
        <v>1141</v>
      </c>
    </row>
    <row r="87" spans="1:45" ht="16">
      <c r="A87" t="s">
        <v>13</v>
      </c>
      <c r="B87" t="s">
        <v>1500</v>
      </c>
      <c r="C87" t="s">
        <v>1501</v>
      </c>
      <c r="E87" t="s">
        <v>1488</v>
      </c>
      <c r="F87" t="s">
        <v>1813</v>
      </c>
      <c r="H87" t="s">
        <v>1814</v>
      </c>
      <c r="I87" t="s">
        <v>1114</v>
      </c>
      <c r="J87" t="s">
        <v>1199</v>
      </c>
      <c r="K87" t="s">
        <v>1815</v>
      </c>
      <c r="L87" t="s">
        <v>1816</v>
      </c>
      <c r="M87" t="s">
        <v>1817</v>
      </c>
      <c r="N87" t="s">
        <v>1102</v>
      </c>
      <c r="O87" t="s">
        <v>1105</v>
      </c>
      <c r="P87" t="s">
        <v>1818</v>
      </c>
      <c r="Q87" t="s">
        <v>1409</v>
      </c>
      <c r="S87" t="s">
        <v>1410</v>
      </c>
      <c r="T87" t="s">
        <v>99</v>
      </c>
      <c r="W87" t="s">
        <v>1819</v>
      </c>
      <c r="X87" t="s">
        <v>1820</v>
      </c>
      <c r="Y87" t="s">
        <v>1821</v>
      </c>
      <c r="AB87" t="s">
        <v>1414</v>
      </c>
      <c r="AC87" t="s">
        <v>1822</v>
      </c>
      <c r="AD87" t="s">
        <v>1823</v>
      </c>
      <c r="AE87" t="s">
        <v>1824</v>
      </c>
      <c r="AF87" t="s">
        <v>1825</v>
      </c>
      <c r="AH87" t="s">
        <v>1826</v>
      </c>
      <c r="AI87" t="s">
        <v>1138</v>
      </c>
      <c r="AJ87" t="s">
        <v>1139</v>
      </c>
      <c r="AK87" t="s">
        <v>1827</v>
      </c>
      <c r="AM87" t="s">
        <v>1141</v>
      </c>
      <c r="AS87" s="1" t="s">
        <v>1278</v>
      </c>
    </row>
    <row r="88" spans="1:45">
      <c r="A88" t="s">
        <v>13</v>
      </c>
      <c r="B88" t="s">
        <v>1535</v>
      </c>
      <c r="C88" t="s">
        <v>17</v>
      </c>
      <c r="E88" t="s">
        <v>1536</v>
      </c>
      <c r="F88" t="s">
        <v>14</v>
      </c>
      <c r="H88" t="s">
        <v>1828</v>
      </c>
      <c r="I88" t="s">
        <v>1101</v>
      </c>
      <c r="J88" t="s">
        <v>1199</v>
      </c>
      <c r="K88" t="s">
        <v>1829</v>
      </c>
      <c r="L88" t="s">
        <v>1539</v>
      </c>
      <c r="M88" t="s">
        <v>685</v>
      </c>
      <c r="N88" t="s">
        <v>1199</v>
      </c>
      <c r="O88" t="s">
        <v>1200</v>
      </c>
      <c r="P88" t="s">
        <v>1830</v>
      </c>
      <c r="Q88" t="s">
        <v>1699</v>
      </c>
      <c r="S88" t="s">
        <v>1642</v>
      </c>
      <c r="T88" t="s">
        <v>41</v>
      </c>
      <c r="U88" t="s">
        <v>1831</v>
      </c>
      <c r="W88" t="s">
        <v>1832</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81BF6-A5F0-E84E-AE33-412114A1C136}">
  <dimension ref="A1"/>
  <sheetViews>
    <sheetView workbookViewId="0">
      <selection activeCell="H22" sqref="H22"/>
    </sheetView>
  </sheetViews>
  <sheetFormatPr baseColWidth="10" defaultRowHeight="1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sheet1</vt:lpstr>
      <vt:lpstr>Sheet5</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a93849</cp:lastModifiedBy>
  <dcterms:modified xsi:type="dcterms:W3CDTF">2026-05-21T02:13:51Z</dcterms:modified>
</cp:coreProperties>
</file>